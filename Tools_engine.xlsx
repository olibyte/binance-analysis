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filterPrivacy="1" defaultThemeVersion="124226"/>
  <xr:revisionPtr revIDLastSave="0" documentId="8_{97AFF4EA-7F31-4B97-8EE5-D8CECBD53F96}" xr6:coauthVersionLast="47" xr6:coauthVersionMax="47" xr10:uidLastSave="{00000000-0000-0000-0000-000000000000}"/>
  <bookViews>
    <workbookView xWindow="38460" yWindow="21480" windowWidth="38640" windowHeight="21120" tabRatio="950" xr2:uid="{00000000-000D-0000-FFFF-FFFF00000000}"/>
  </bookViews>
  <sheets>
    <sheet name="Bias Tool " sheetId="33" r:id="rId1"/>
    <sheet name="YEN BIAS" sheetId="34" r:id="rId2"/>
    <sheet name="INDICES BIAS" sheetId="37" r:id="rId3"/>
    <sheet name="ATRs" sheetId="35" r:id="rId4"/>
    <sheet name="PIPS" sheetId="29" r:id="rId5"/>
    <sheet name="Madness" sheetId="18" r:id="rId6"/>
    <sheet name="Risk pro" sheetId="30" r:id="rId7"/>
    <sheet name="Wage Maker" sheetId="4" r:id="rId8"/>
    <sheet name="Compound Plan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3" l="1"/>
  <c r="K10" i="33" s="1"/>
  <c r="J9" i="33"/>
  <c r="K9" i="33" s="1"/>
  <c r="J8" i="33"/>
  <c r="K8" i="33" s="1"/>
  <c r="J7" i="33"/>
  <c r="K7" i="33" s="1"/>
  <c r="J6" i="33"/>
  <c r="K6" i="33" s="1"/>
  <c r="J5" i="33"/>
  <c r="K5" i="33" s="1"/>
  <c r="J4" i="33"/>
  <c r="K4" i="33" s="1"/>
  <c r="O10" i="34"/>
  <c r="H10" i="34"/>
  <c r="H9" i="34"/>
  <c r="I9" i="34" s="1"/>
  <c r="H8" i="34"/>
  <c r="H7" i="34"/>
  <c r="I7" i="34" s="1"/>
  <c r="H6" i="34"/>
  <c r="H5" i="34"/>
  <c r="I5" i="34" s="1"/>
  <c r="H4" i="34"/>
  <c r="AC22" i="37"/>
  <c r="V22" i="37"/>
  <c r="W22" i="37" s="1"/>
  <c r="O22" i="37"/>
  <c r="I22" i="37"/>
  <c r="H22" i="37"/>
  <c r="V21" i="37"/>
  <c r="W21" i="37" s="1"/>
  <c r="H21" i="37"/>
  <c r="I21" i="37" s="1"/>
  <c r="V20" i="37"/>
  <c r="AA20" i="37" s="1"/>
  <c r="H20" i="37"/>
  <c r="M20" i="37" s="1"/>
  <c r="O20" i="37" s="1"/>
  <c r="V19" i="37"/>
  <c r="W19" i="37" s="1"/>
  <c r="H19" i="37"/>
  <c r="I19" i="37" s="1"/>
  <c r="V18" i="37"/>
  <c r="AA18" i="37" s="1"/>
  <c r="H18" i="37"/>
  <c r="M18" i="37" s="1"/>
  <c r="V17" i="37"/>
  <c r="W17" i="37" s="1"/>
  <c r="H17" i="37"/>
  <c r="I17" i="37" s="1"/>
  <c r="V16" i="37"/>
  <c r="W16" i="37" s="1"/>
  <c r="H16" i="37"/>
  <c r="AC10" i="37"/>
  <c r="V10" i="37"/>
  <c r="O10" i="37"/>
  <c r="H10" i="37"/>
  <c r="V9" i="37"/>
  <c r="W9" i="37" s="1"/>
  <c r="H9" i="37"/>
  <c r="I9" i="37" s="1"/>
  <c r="V8" i="37"/>
  <c r="W8" i="37" s="1"/>
  <c r="H8" i="37"/>
  <c r="V7" i="37"/>
  <c r="W7" i="37" s="1"/>
  <c r="H7" i="37"/>
  <c r="I7" i="37" s="1"/>
  <c r="V6" i="37"/>
  <c r="H6" i="37"/>
  <c r="V5" i="37"/>
  <c r="W5" i="37" s="1"/>
  <c r="H5" i="37"/>
  <c r="I5" i="37" s="1"/>
  <c r="V4" i="37"/>
  <c r="H4" i="37"/>
  <c r="D17" i="35"/>
  <c r="D4" i="35"/>
  <c r="O34" i="34"/>
  <c r="H34" i="34"/>
  <c r="H33" i="34"/>
  <c r="I33" i="34" s="1"/>
  <c r="H32" i="34"/>
  <c r="H31" i="34"/>
  <c r="I31" i="34" s="1"/>
  <c r="H30" i="34"/>
  <c r="H29" i="34"/>
  <c r="I29" i="34" s="1"/>
  <c r="H28" i="34"/>
  <c r="AC22" i="34"/>
  <c r="V22" i="34"/>
  <c r="V21" i="34"/>
  <c r="W21" i="34" s="1"/>
  <c r="V20" i="34"/>
  <c r="V19" i="34"/>
  <c r="W19" i="34" s="1"/>
  <c r="V18" i="34"/>
  <c r="V17" i="34"/>
  <c r="W17" i="34" s="1"/>
  <c r="V16" i="34"/>
  <c r="AA16" i="34" s="1"/>
  <c r="D14" i="35"/>
  <c r="D7" i="35"/>
  <c r="D8" i="35"/>
  <c r="D9" i="35"/>
  <c r="D10" i="35"/>
  <c r="D11" i="35"/>
  <c r="D6" i="35"/>
  <c r="M4" i="34" l="1"/>
  <c r="I4" i="34"/>
  <c r="M6" i="34"/>
  <c r="I6" i="34"/>
  <c r="M8" i="34"/>
  <c r="I8" i="34"/>
  <c r="I10" i="34"/>
  <c r="AA6" i="37"/>
  <c r="AB6" i="37" s="1"/>
  <c r="AA4" i="37"/>
  <c r="M8" i="37"/>
  <c r="M6" i="37"/>
  <c r="N6" i="37" s="1"/>
  <c r="M4" i="37"/>
  <c r="I20" i="37"/>
  <c r="M16" i="37"/>
  <c r="N18" i="37"/>
  <c r="M23" i="37" s="1"/>
  <c r="O18" i="37"/>
  <c r="N16" i="37"/>
  <c r="N21" i="37" s="1"/>
  <c r="AC18" i="37"/>
  <c r="AB18" i="37"/>
  <c r="N8" i="37"/>
  <c r="AB20" i="37"/>
  <c r="AB22" i="37" s="1"/>
  <c r="W20" i="37"/>
  <c r="AC20" i="37" s="1"/>
  <c r="AA8" i="37"/>
  <c r="N20" i="37"/>
  <c r="N22" i="37" s="1"/>
  <c r="I6" i="37"/>
  <c r="I16" i="37"/>
  <c r="AA16" i="37"/>
  <c r="I10" i="37"/>
  <c r="W18" i="37"/>
  <c r="W6" i="37"/>
  <c r="I4" i="37"/>
  <c r="W4" i="37"/>
  <c r="I8" i="37"/>
  <c r="W10" i="37"/>
  <c r="I18" i="37"/>
  <c r="O16" i="37" s="1"/>
  <c r="M32" i="34"/>
  <c r="N32" i="34" s="1"/>
  <c r="M30" i="34"/>
  <c r="M28" i="34"/>
  <c r="AA20" i="34"/>
  <c r="AB20" i="34" s="1"/>
  <c r="AB22" i="34" s="1"/>
  <c r="AA18" i="34"/>
  <c r="N28" i="34"/>
  <c r="N30" i="34"/>
  <c r="I30" i="34"/>
  <c r="O28" i="34" s="1"/>
  <c r="I32" i="34"/>
  <c r="I28" i="34"/>
  <c r="I34" i="34"/>
  <c r="AB16" i="34"/>
  <c r="AB18" i="34"/>
  <c r="W18" i="34"/>
  <c r="W20" i="34"/>
  <c r="W16" i="34"/>
  <c r="W22" i="34"/>
  <c r="AC16" i="34" l="1"/>
  <c r="AC18" i="34"/>
  <c r="O8" i="34"/>
  <c r="N8" i="34"/>
  <c r="N10" i="34" s="1"/>
  <c r="O6" i="34"/>
  <c r="N6" i="34"/>
  <c r="O4" i="34"/>
  <c r="N4" i="34"/>
  <c r="N9" i="34" s="1"/>
  <c r="AC6" i="37"/>
  <c r="O4" i="37"/>
  <c r="AC4" i="37"/>
  <c r="N10" i="37"/>
  <c r="AB4" i="37"/>
  <c r="AB9" i="37" s="1"/>
  <c r="O6" i="37"/>
  <c r="N4" i="37"/>
  <c r="M11" i="37" s="1"/>
  <c r="AB16" i="37"/>
  <c r="AB21" i="37" s="1"/>
  <c r="AC16" i="37"/>
  <c r="AC8" i="37"/>
  <c r="AB8" i="37"/>
  <c r="AB10" i="37" s="1"/>
  <c r="AA11" i="37"/>
  <c r="O8" i="37"/>
  <c r="N34" i="34"/>
  <c r="M35" i="34"/>
  <c r="O30" i="34"/>
  <c r="AA23" i="34"/>
  <c r="O32" i="34"/>
  <c r="N33" i="34"/>
  <c r="AC20" i="34"/>
  <c r="AB21" i="34"/>
  <c r="M11" i="34" l="1"/>
  <c r="N9" i="37"/>
  <c r="AA23" i="37"/>
  <c r="O22" i="34"/>
  <c r="H22" i="34"/>
  <c r="I22" i="34" s="1"/>
  <c r="H21" i="34"/>
  <c r="I21" i="34" s="1"/>
  <c r="I20" i="34"/>
  <c r="H20" i="34"/>
  <c r="H19" i="34"/>
  <c r="I19" i="34" s="1"/>
  <c r="H18" i="34"/>
  <c r="I18" i="34" s="1"/>
  <c r="H17" i="34"/>
  <c r="I17" i="34" s="1"/>
  <c r="H16" i="34"/>
  <c r="M16" i="34" s="1"/>
  <c r="AC10" i="34"/>
  <c r="V10" i="34"/>
  <c r="W10" i="34" s="1"/>
  <c r="V9" i="34"/>
  <c r="W9" i="34" s="1"/>
  <c r="V8" i="34"/>
  <c r="W8" i="34" s="1"/>
  <c r="V7" i="34"/>
  <c r="W7" i="34" s="1"/>
  <c r="V6" i="34"/>
  <c r="V5" i="34"/>
  <c r="W5" i="34" s="1"/>
  <c r="V4" i="34"/>
  <c r="AA4" i="34" s="1"/>
  <c r="T19" i="33"/>
  <c r="U17" i="33"/>
  <c r="AA6" i="34" l="1"/>
  <c r="M20" i="34"/>
  <c r="N20" i="34" s="1"/>
  <c r="N22" i="34" s="1"/>
  <c r="N16" i="34"/>
  <c r="O16" i="34"/>
  <c r="M18" i="34"/>
  <c r="I16" i="34"/>
  <c r="AB4" i="34"/>
  <c r="AB6" i="34"/>
  <c r="AA11" i="34" s="1"/>
  <c r="AA8" i="34"/>
  <c r="W4" i="34"/>
  <c r="W6" i="34"/>
  <c r="AC4" i="34" s="1"/>
  <c r="O8" i="33"/>
  <c r="T18" i="33"/>
  <c r="O6" i="33"/>
  <c r="T17" i="33"/>
  <c r="O4" i="33"/>
  <c r="T16" i="33"/>
  <c r="U16" i="33"/>
  <c r="U18" i="33"/>
  <c r="U19" i="33"/>
  <c r="I16" i="18"/>
  <c r="I15" i="18"/>
  <c r="I14" i="18"/>
  <c r="AC6" i="34" l="1"/>
  <c r="O20" i="34"/>
  <c r="O18" i="34"/>
  <c r="N18" i="34"/>
  <c r="M23" i="34" s="1"/>
  <c r="N21" i="34"/>
  <c r="AC8" i="34"/>
  <c r="AB8" i="34"/>
  <c r="AB10" i="34" s="1"/>
  <c r="AB9" i="34"/>
  <c r="Q4" i="33"/>
  <c r="Q8" i="33"/>
  <c r="P8" i="33"/>
  <c r="P10" i="33" s="1"/>
  <c r="U21" i="33"/>
  <c r="Q6" i="33"/>
  <c r="P6" i="33"/>
  <c r="T21" i="33"/>
  <c r="P4" i="33"/>
  <c r="O11" i="33" l="1"/>
  <c r="T22" i="33"/>
  <c r="Q10" i="33" s="1"/>
  <c r="P9" i="33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H62" i="4" l="1"/>
  <c r="I62" i="4" s="1"/>
  <c r="K62" i="4" s="1"/>
  <c r="A63" i="4"/>
  <c r="J62" i="4" l="1"/>
  <c r="M62" i="4"/>
  <c r="H63" i="4"/>
  <c r="A64" i="4"/>
  <c r="A65" i="4" l="1"/>
  <c r="H64" i="4"/>
  <c r="M63" i="4"/>
  <c r="J63" i="4"/>
  <c r="I63" i="4"/>
  <c r="K63" i="4" s="1"/>
  <c r="I64" i="4" l="1"/>
  <c r="K64" i="4" s="1"/>
  <c r="M64" i="4"/>
  <c r="J64" i="4"/>
  <c r="A66" i="4"/>
  <c r="H65" i="4"/>
  <c r="M65" i="4" l="1"/>
  <c r="J65" i="4"/>
  <c r="I65" i="4"/>
  <c r="K65" i="4" s="1"/>
  <c r="A67" i="4"/>
  <c r="H66" i="4"/>
  <c r="J66" i="4" l="1"/>
  <c r="M66" i="4"/>
  <c r="I66" i="4"/>
  <c r="K66" i="4" s="1"/>
  <c r="A68" i="4"/>
  <c r="H67" i="4"/>
  <c r="J67" i="4" l="1"/>
  <c r="I67" i="4"/>
  <c r="K67" i="4" s="1"/>
  <c r="M67" i="4"/>
  <c r="A69" i="4"/>
  <c r="H68" i="4"/>
  <c r="M68" i="4" l="1"/>
  <c r="J68" i="4"/>
  <c r="I68" i="4"/>
  <c r="K68" i="4" s="1"/>
  <c r="A70" i="4"/>
  <c r="H69" i="4"/>
  <c r="J69" i="4" l="1"/>
  <c r="M69" i="4"/>
  <c r="I69" i="4"/>
  <c r="K69" i="4" s="1"/>
  <c r="A71" i="4"/>
  <c r="H70" i="4"/>
  <c r="J70" i="4" l="1"/>
  <c r="M70" i="4"/>
  <c r="I70" i="4"/>
  <c r="K70" i="4" s="1"/>
  <c r="A72" i="4"/>
  <c r="H71" i="4"/>
  <c r="H13" i="30"/>
  <c r="G6" i="30"/>
  <c r="J71" i="4" l="1"/>
  <c r="I71" i="4"/>
  <c r="K71" i="4" s="1"/>
  <c r="M71" i="4"/>
  <c r="A73" i="4"/>
  <c r="H72" i="4"/>
  <c r="H15" i="30"/>
  <c r="D17" i="30"/>
  <c r="D18" i="30" s="1"/>
  <c r="E17" i="30"/>
  <c r="E18" i="30" s="1"/>
  <c r="F17" i="30"/>
  <c r="F18" i="30" s="1"/>
  <c r="G17" i="30"/>
  <c r="G18" i="30" s="1"/>
  <c r="C17" i="30"/>
  <c r="C18" i="30" s="1"/>
  <c r="E12" i="30"/>
  <c r="F12" i="30"/>
  <c r="G12" i="30"/>
  <c r="C12" i="30"/>
  <c r="C14" i="30" s="1"/>
  <c r="D12" i="30"/>
  <c r="D14" i="30" s="1"/>
  <c r="H11" i="30"/>
  <c r="H9" i="30"/>
  <c r="H19" i="30"/>
  <c r="D6" i="30"/>
  <c r="F6" i="30" s="1"/>
  <c r="G14" i="30" l="1"/>
  <c r="G16" i="30"/>
  <c r="F14" i="30"/>
  <c r="F16" i="30"/>
  <c r="E14" i="30"/>
  <c r="E16" i="30"/>
  <c r="A74" i="4"/>
  <c r="H73" i="4"/>
  <c r="J72" i="4"/>
  <c r="I72" i="4"/>
  <c r="K72" i="4" s="1"/>
  <c r="M72" i="4"/>
  <c r="C16" i="30"/>
  <c r="D16" i="30"/>
  <c r="H18" i="30"/>
  <c r="H17" i="30"/>
  <c r="H12" i="30"/>
  <c r="A75" i="4" l="1"/>
  <c r="H74" i="4"/>
  <c r="J73" i="4"/>
  <c r="I73" i="4"/>
  <c r="K73" i="4" s="1"/>
  <c r="M73" i="4"/>
  <c r="H16" i="30"/>
  <c r="A76" i="4" l="1"/>
  <c r="H75" i="4"/>
  <c r="M74" i="4"/>
  <c r="J74" i="4"/>
  <c r="I74" i="4"/>
  <c r="K74" i="4" s="1"/>
  <c r="M75" i="4" l="1"/>
  <c r="J75" i="4"/>
  <c r="I75" i="4"/>
  <c r="K75" i="4" s="1"/>
  <c r="A77" i="4"/>
  <c r="H76" i="4"/>
  <c r="I76" i="4" l="1"/>
  <c r="K76" i="4" s="1"/>
  <c r="J76" i="4"/>
  <c r="M76" i="4"/>
  <c r="A78" i="4"/>
  <c r="H77" i="4"/>
  <c r="J77" i="4" l="1"/>
  <c r="M77" i="4"/>
  <c r="I77" i="4"/>
  <c r="K77" i="4" s="1"/>
  <c r="H78" i="4"/>
  <c r="A79" i="4"/>
  <c r="H79" i="4" l="1"/>
  <c r="A80" i="4"/>
  <c r="M78" i="4"/>
  <c r="J78" i="4"/>
  <c r="I78" i="4"/>
  <c r="K78" i="4" s="1"/>
  <c r="A81" i="4" l="1"/>
  <c r="H80" i="4"/>
  <c r="J79" i="4"/>
  <c r="I79" i="4"/>
  <c r="K79" i="4" s="1"/>
  <c r="M79" i="4"/>
  <c r="I80" i="4" l="1"/>
  <c r="K80" i="4" s="1"/>
  <c r="M80" i="4"/>
  <c r="J80" i="4"/>
  <c r="H81" i="4"/>
  <c r="A82" i="4"/>
  <c r="A83" i="4" l="1"/>
  <c r="H82" i="4"/>
  <c r="M81" i="4"/>
  <c r="I81" i="4"/>
  <c r="K81" i="4" s="1"/>
  <c r="J81" i="4"/>
  <c r="M82" i="4" l="1"/>
  <c r="J82" i="4"/>
  <c r="I82" i="4"/>
  <c r="K82" i="4" s="1"/>
  <c r="A84" i="4"/>
  <c r="H83" i="4"/>
  <c r="A85" i="4" l="1"/>
  <c r="H84" i="4"/>
  <c r="M83" i="4"/>
  <c r="I83" i="4"/>
  <c r="K83" i="4" s="1"/>
  <c r="J83" i="4"/>
  <c r="I84" i="4" l="1"/>
  <c r="K84" i="4" s="1"/>
  <c r="J84" i="4"/>
  <c r="M84" i="4"/>
  <c r="H85" i="4"/>
  <c r="A86" i="4"/>
  <c r="A87" i="4" l="1"/>
  <c r="H86" i="4"/>
  <c r="J85" i="4"/>
  <c r="I85" i="4"/>
  <c r="K85" i="4" s="1"/>
  <c r="M85" i="4"/>
  <c r="M86" i="4" l="1"/>
  <c r="J86" i="4"/>
  <c r="I86" i="4"/>
  <c r="K86" i="4" s="1"/>
  <c r="A88" i="4"/>
  <c r="H87" i="4"/>
  <c r="E7" i="18"/>
  <c r="A89" i="4" l="1"/>
  <c r="H88" i="4"/>
  <c r="I87" i="4"/>
  <c r="K87" i="4" s="1"/>
  <c r="J87" i="4"/>
  <c r="M87" i="4"/>
  <c r="I88" i="4" l="1"/>
  <c r="K88" i="4" s="1"/>
  <c r="J88" i="4"/>
  <c r="M88" i="4"/>
  <c r="H89" i="4"/>
  <c r="A90" i="4"/>
  <c r="I89" i="4" l="1"/>
  <c r="K89" i="4" s="1"/>
  <c r="M89" i="4"/>
  <c r="J89" i="4"/>
  <c r="A91" i="4"/>
  <c r="H90" i="4"/>
  <c r="M90" i="4" l="1"/>
  <c r="J90" i="4"/>
  <c r="I90" i="4"/>
  <c r="K90" i="4" s="1"/>
  <c r="A92" i="4"/>
  <c r="H91" i="4"/>
  <c r="H92" i="4" l="1"/>
  <c r="A93" i="4"/>
  <c r="I91" i="4"/>
  <c r="K91" i="4" s="1"/>
  <c r="M91" i="4"/>
  <c r="J91" i="4"/>
  <c r="I92" i="4" l="1"/>
  <c r="K92" i="4" s="1"/>
  <c r="M92" i="4"/>
  <c r="J92" i="4"/>
  <c r="A94" i="4"/>
  <c r="H93" i="4"/>
  <c r="I93" i="4" l="1"/>
  <c r="K93" i="4" s="1"/>
  <c r="J93" i="4"/>
  <c r="M93" i="4"/>
  <c r="A95" i="4"/>
  <c r="H94" i="4"/>
  <c r="J94" i="4" l="1"/>
  <c r="M94" i="4"/>
  <c r="I94" i="4"/>
  <c r="K94" i="4" s="1"/>
  <c r="A96" i="4"/>
  <c r="H95" i="4"/>
  <c r="J95" i="4" l="1"/>
  <c r="M95" i="4"/>
  <c r="I95" i="4"/>
  <c r="K95" i="4" s="1"/>
  <c r="H96" i="4"/>
  <c r="A97" i="4"/>
  <c r="H97" i="4" l="1"/>
  <c r="A98" i="4"/>
  <c r="I96" i="4"/>
  <c r="K96" i="4" s="1"/>
  <c r="J96" i="4"/>
  <c r="M96" i="4"/>
  <c r="A99" i="4" l="1"/>
  <c r="H98" i="4"/>
  <c r="I97" i="4"/>
  <c r="K97" i="4" s="1"/>
  <c r="M97" i="4"/>
  <c r="J97" i="4"/>
  <c r="A100" i="4" l="1"/>
  <c r="H99" i="4"/>
  <c r="J98" i="4"/>
  <c r="I98" i="4"/>
  <c r="K98" i="4" s="1"/>
  <c r="M98" i="4"/>
  <c r="M99" i="4" l="1"/>
  <c r="J99" i="4"/>
  <c r="I99" i="4"/>
  <c r="K99" i="4" s="1"/>
  <c r="A101" i="4"/>
  <c r="H100" i="4"/>
  <c r="I100" i="4" l="1"/>
  <c r="K100" i="4" s="1"/>
  <c r="M100" i="4"/>
  <c r="J100" i="4"/>
  <c r="A102" i="4"/>
  <c r="H101" i="4"/>
  <c r="I101" i="4" l="1"/>
  <c r="K101" i="4" s="1"/>
  <c r="J101" i="4"/>
  <c r="M101" i="4"/>
  <c r="A103" i="4"/>
  <c r="H102" i="4"/>
  <c r="A3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5" i="29"/>
  <c r="J102" i="4" l="1"/>
  <c r="I102" i="4"/>
  <c r="K102" i="4" s="1"/>
  <c r="M102" i="4"/>
  <c r="A104" i="4"/>
  <c r="H103" i="4"/>
  <c r="C3" i="29"/>
  <c r="A105" i="4" l="1"/>
  <c r="H104" i="4"/>
  <c r="M103" i="4"/>
  <c r="J103" i="4"/>
  <c r="I103" i="4"/>
  <c r="K103" i="4" s="1"/>
  <c r="J104" i="4" l="1"/>
  <c r="M104" i="4"/>
  <c r="I104" i="4"/>
  <c r="K104" i="4" s="1"/>
  <c r="A106" i="4"/>
  <c r="H105" i="4"/>
  <c r="I105" i="4" l="1"/>
  <c r="K105" i="4" s="1"/>
  <c r="M105" i="4"/>
  <c r="J105" i="4"/>
  <c r="H106" i="4"/>
  <c r="A107" i="4"/>
  <c r="H107" i="4" l="1"/>
  <c r="A108" i="4"/>
  <c r="J106" i="4"/>
  <c r="I106" i="4"/>
  <c r="K106" i="4" s="1"/>
  <c r="M106" i="4"/>
  <c r="H108" i="4" l="1"/>
  <c r="A109" i="4"/>
  <c r="M107" i="4"/>
  <c r="I107" i="4"/>
  <c r="K107" i="4" s="1"/>
  <c r="J107" i="4"/>
  <c r="A110" i="4" l="1"/>
  <c r="H109" i="4"/>
  <c r="M108" i="4"/>
  <c r="J108" i="4"/>
  <c r="I108" i="4"/>
  <c r="K108" i="4" s="1"/>
  <c r="J109" i="4" l="1"/>
  <c r="I109" i="4"/>
  <c r="K109" i="4" s="1"/>
  <c r="M109" i="4"/>
  <c r="A111" i="4"/>
  <c r="A112" i="4" s="1"/>
  <c r="H110" i="4"/>
  <c r="A113" i="4" l="1"/>
  <c r="H112" i="4"/>
  <c r="J110" i="4"/>
  <c r="M110" i="4"/>
  <c r="I110" i="4"/>
  <c r="K110" i="4" s="1"/>
  <c r="H111" i="4"/>
  <c r="M112" i="4" l="1"/>
  <c r="I112" i="4"/>
  <c r="K112" i="4" s="1"/>
  <c r="J112" i="4"/>
  <c r="A114" i="4"/>
  <c r="H113" i="4"/>
  <c r="I111" i="4"/>
  <c r="K111" i="4" s="1"/>
  <c r="M111" i="4"/>
  <c r="J111" i="4"/>
  <c r="I113" i="4" l="1"/>
  <c r="K113" i="4" s="1"/>
  <c r="J113" i="4"/>
  <c r="M113" i="4"/>
  <c r="H114" i="4"/>
  <c r="A115" i="4"/>
  <c r="A116" i="4" l="1"/>
  <c r="H115" i="4"/>
  <c r="J114" i="4"/>
  <c r="I114" i="4"/>
  <c r="K114" i="4" s="1"/>
  <c r="M114" i="4"/>
  <c r="J115" i="4" l="1"/>
  <c r="M115" i="4"/>
  <c r="I115" i="4"/>
  <c r="K115" i="4" s="1"/>
  <c r="H116" i="4"/>
  <c r="A117" i="4"/>
  <c r="A118" i="4" l="1"/>
  <c r="H117" i="4"/>
  <c r="M116" i="4"/>
  <c r="J116" i="4"/>
  <c r="I116" i="4"/>
  <c r="K116" i="4" s="1"/>
  <c r="J117" i="4" l="1"/>
  <c r="M117" i="4"/>
  <c r="I117" i="4"/>
  <c r="K117" i="4" s="1"/>
  <c r="H118" i="4"/>
  <c r="A119" i="4"/>
  <c r="H119" i="4" l="1"/>
  <c r="A120" i="4"/>
  <c r="J118" i="4"/>
  <c r="M118" i="4"/>
  <c r="I118" i="4"/>
  <c r="K118" i="4" s="1"/>
  <c r="H120" i="4" l="1"/>
  <c r="A121" i="4"/>
  <c r="I119" i="4"/>
  <c r="K119" i="4" s="1"/>
  <c r="J119" i="4"/>
  <c r="M119" i="4"/>
  <c r="A122" i="4" l="1"/>
  <c r="H121" i="4"/>
  <c r="J120" i="4"/>
  <c r="I120" i="4"/>
  <c r="K120" i="4" s="1"/>
  <c r="M120" i="4"/>
  <c r="J121" i="4" l="1"/>
  <c r="I121" i="4"/>
  <c r="K121" i="4" s="1"/>
  <c r="M121" i="4"/>
  <c r="A123" i="4"/>
  <c r="H122" i="4"/>
  <c r="M122" i="4" l="1"/>
  <c r="J122" i="4"/>
  <c r="I122" i="4"/>
  <c r="K122" i="4" s="1"/>
  <c r="A124" i="4"/>
  <c r="H123" i="4"/>
  <c r="A125" i="4" l="1"/>
  <c r="H124" i="4"/>
  <c r="M123" i="4"/>
  <c r="J123" i="4"/>
  <c r="I123" i="4"/>
  <c r="K123" i="4" s="1"/>
  <c r="M124" i="4" l="1"/>
  <c r="I124" i="4"/>
  <c r="K124" i="4" s="1"/>
  <c r="J124" i="4"/>
  <c r="A126" i="4"/>
  <c r="H125" i="4"/>
  <c r="I125" i="4" l="1"/>
  <c r="K125" i="4" s="1"/>
  <c r="M125" i="4"/>
  <c r="J125" i="4"/>
  <c r="H126" i="4"/>
  <c r="A127" i="4"/>
  <c r="A128" i="4" l="1"/>
  <c r="H127" i="4"/>
  <c r="M126" i="4"/>
  <c r="J126" i="4"/>
  <c r="I126" i="4"/>
  <c r="K126" i="4" s="1"/>
  <c r="M127" i="4" l="1"/>
  <c r="I127" i="4"/>
  <c r="K127" i="4" s="1"/>
  <c r="J127" i="4"/>
  <c r="A129" i="4"/>
  <c r="H128" i="4"/>
  <c r="M128" i="4" l="1"/>
  <c r="I128" i="4"/>
  <c r="K128" i="4" s="1"/>
  <c r="J128" i="4"/>
  <c r="A130" i="4"/>
  <c r="H129" i="4"/>
  <c r="J129" i="4" l="1"/>
  <c r="I129" i="4"/>
  <c r="K129" i="4" s="1"/>
  <c r="M129" i="4"/>
  <c r="H130" i="4"/>
  <c r="A131" i="4"/>
  <c r="J130" i="4" l="1"/>
  <c r="I130" i="4"/>
  <c r="K130" i="4" s="1"/>
  <c r="M130" i="4"/>
  <c r="H131" i="4"/>
  <c r="A132" i="4"/>
  <c r="H132" i="4" l="1"/>
  <c r="A133" i="4"/>
  <c r="I131" i="4"/>
  <c r="K131" i="4" s="1"/>
  <c r="M131" i="4"/>
  <c r="J131" i="4"/>
  <c r="A134" i="4" l="1"/>
  <c r="H133" i="4"/>
  <c r="J132" i="4"/>
  <c r="I132" i="4"/>
  <c r="K132" i="4" s="1"/>
  <c r="M132" i="4"/>
  <c r="J133" i="4" l="1"/>
  <c r="I133" i="4"/>
  <c r="K133" i="4" s="1"/>
  <c r="M133" i="4"/>
  <c r="A135" i="4"/>
  <c r="H134" i="4"/>
  <c r="I13" i="18"/>
  <c r="M134" i="4" l="1"/>
  <c r="J134" i="4"/>
  <c r="I134" i="4"/>
  <c r="K134" i="4" s="1"/>
  <c r="H135" i="4"/>
  <c r="A136" i="4"/>
  <c r="H136" i="4" l="1"/>
  <c r="A137" i="4"/>
  <c r="J135" i="4"/>
  <c r="I135" i="4"/>
  <c r="K135" i="4" s="1"/>
  <c r="M135" i="4"/>
  <c r="H137" i="4" l="1"/>
  <c r="A138" i="4"/>
  <c r="J136" i="4"/>
  <c r="I136" i="4"/>
  <c r="K136" i="4" s="1"/>
  <c r="M136" i="4"/>
  <c r="A139" i="4" l="1"/>
  <c r="H138" i="4"/>
  <c r="M137" i="4"/>
  <c r="J137" i="4"/>
  <c r="I137" i="4"/>
  <c r="K137" i="4" s="1"/>
  <c r="I138" i="4" l="1"/>
  <c r="K138" i="4" s="1"/>
  <c r="J138" i="4"/>
  <c r="M138" i="4"/>
  <c r="A140" i="4"/>
  <c r="H139" i="4"/>
  <c r="J139" i="4" l="1"/>
  <c r="I139" i="4"/>
  <c r="K139" i="4" s="1"/>
  <c r="M139" i="4"/>
  <c r="H140" i="4"/>
  <c r="A141" i="4"/>
  <c r="A142" i="4" l="1"/>
  <c r="H141" i="4"/>
  <c r="J140" i="4"/>
  <c r="I140" i="4"/>
  <c r="K140" i="4" s="1"/>
  <c r="M140" i="4"/>
  <c r="I141" i="4" l="1"/>
  <c r="K141" i="4" s="1"/>
  <c r="J141" i="4"/>
  <c r="M141" i="4"/>
  <c r="A143" i="4"/>
  <c r="H142" i="4"/>
  <c r="M142" i="4" l="1"/>
  <c r="J142" i="4"/>
  <c r="I142" i="4"/>
  <c r="K142" i="4" s="1"/>
  <c r="A144" i="4"/>
  <c r="H143" i="4"/>
  <c r="M143" i="4" l="1"/>
  <c r="J143" i="4"/>
  <c r="I143" i="4"/>
  <c r="K143" i="4" s="1"/>
  <c r="A145" i="4"/>
  <c r="H144" i="4"/>
  <c r="I144" i="4" l="1"/>
  <c r="K144" i="4" s="1"/>
  <c r="J144" i="4"/>
  <c r="M144" i="4"/>
  <c r="H145" i="4"/>
  <c r="A146" i="4"/>
  <c r="H146" i="4" l="1"/>
  <c r="A147" i="4"/>
  <c r="J145" i="4"/>
  <c r="I145" i="4"/>
  <c r="K145" i="4" s="1"/>
  <c r="M145" i="4"/>
  <c r="A148" i="4" l="1"/>
  <c r="H147" i="4"/>
  <c r="J146" i="4"/>
  <c r="I146" i="4"/>
  <c r="K146" i="4" s="1"/>
  <c r="M146" i="4"/>
  <c r="I147" i="4" l="1"/>
  <c r="K147" i="4" s="1"/>
  <c r="J147" i="4"/>
  <c r="M147" i="4"/>
  <c r="A149" i="4"/>
  <c r="H148" i="4"/>
  <c r="J148" i="4" l="1"/>
  <c r="M148" i="4"/>
  <c r="I148" i="4"/>
  <c r="K148" i="4" s="1"/>
  <c r="A150" i="4"/>
  <c r="H149" i="4"/>
  <c r="M149" i="4" l="1"/>
  <c r="J149" i="4"/>
  <c r="I149" i="4"/>
  <c r="K149" i="4" s="1"/>
  <c r="H150" i="4"/>
  <c r="A151" i="4"/>
  <c r="H151" i="4" l="1"/>
  <c r="A152" i="4"/>
  <c r="I150" i="4"/>
  <c r="K150" i="4" s="1"/>
  <c r="J150" i="4"/>
  <c r="M150" i="4"/>
  <c r="H152" i="4" l="1"/>
  <c r="A153" i="4"/>
  <c r="J151" i="4"/>
  <c r="I151" i="4"/>
  <c r="K151" i="4" s="1"/>
  <c r="M151" i="4"/>
  <c r="H153" i="4" l="1"/>
  <c r="A154" i="4"/>
  <c r="I152" i="4"/>
  <c r="K152" i="4" s="1"/>
  <c r="M152" i="4"/>
  <c r="J152" i="4"/>
  <c r="H154" i="4" l="1"/>
  <c r="A155" i="4"/>
  <c r="I153" i="4"/>
  <c r="K153" i="4" s="1"/>
  <c r="M153" i="4"/>
  <c r="J153" i="4"/>
  <c r="H155" i="4" l="1"/>
  <c r="A156" i="4"/>
  <c r="M154" i="4"/>
  <c r="J154" i="4"/>
  <c r="I154" i="4"/>
  <c r="K154" i="4" s="1"/>
  <c r="H156" i="4" l="1"/>
  <c r="A157" i="4"/>
  <c r="J155" i="4"/>
  <c r="M155" i="4"/>
  <c r="I155" i="4"/>
  <c r="K155" i="4" s="1"/>
  <c r="H157" i="4" l="1"/>
  <c r="A158" i="4"/>
  <c r="I156" i="4"/>
  <c r="K156" i="4" s="1"/>
  <c r="M156" i="4"/>
  <c r="J156" i="4"/>
  <c r="H158" i="4" l="1"/>
  <c r="A159" i="4"/>
  <c r="J157" i="4"/>
  <c r="I157" i="4"/>
  <c r="K157" i="4" s="1"/>
  <c r="M157" i="4"/>
  <c r="A160" i="4" l="1"/>
  <c r="H159" i="4"/>
  <c r="M158" i="4"/>
  <c r="I158" i="4"/>
  <c r="K158" i="4" s="1"/>
  <c r="J158" i="4"/>
  <c r="I159" i="4" l="1"/>
  <c r="K159" i="4" s="1"/>
  <c r="J159" i="4"/>
  <c r="M159" i="4"/>
  <c r="A161" i="4"/>
  <c r="H160" i="4"/>
  <c r="J160" i="4" l="1"/>
  <c r="M160" i="4"/>
  <c r="I160" i="4"/>
  <c r="K160" i="4" s="1"/>
  <c r="H161" i="4"/>
  <c r="A162" i="4"/>
  <c r="J161" i="4" l="1"/>
  <c r="M161" i="4"/>
  <c r="I161" i="4"/>
  <c r="K161" i="4" s="1"/>
  <c r="A163" i="4"/>
  <c r="H162" i="4"/>
  <c r="I162" i="4" l="1"/>
  <c r="K162" i="4" s="1"/>
  <c r="M162" i="4"/>
  <c r="J162" i="4"/>
  <c r="H163" i="4"/>
  <c r="A164" i="4"/>
  <c r="H164" i="4" l="1"/>
  <c r="A165" i="4"/>
  <c r="I163" i="4"/>
  <c r="K163" i="4" s="1"/>
  <c r="M163" i="4"/>
  <c r="J163" i="4"/>
  <c r="H165" i="4" l="1"/>
  <c r="A166" i="4"/>
  <c r="J164" i="4"/>
  <c r="I164" i="4"/>
  <c r="K164" i="4" s="1"/>
  <c r="M164" i="4"/>
  <c r="H166" i="4" l="1"/>
  <c r="A167" i="4"/>
  <c r="J165" i="4"/>
  <c r="I165" i="4"/>
  <c r="K165" i="4" s="1"/>
  <c r="M165" i="4"/>
  <c r="A168" i="4" l="1"/>
  <c r="H167" i="4"/>
  <c r="M166" i="4"/>
  <c r="J166" i="4"/>
  <c r="I166" i="4"/>
  <c r="K166" i="4" s="1"/>
  <c r="M167" i="4" l="1"/>
  <c r="J167" i="4"/>
  <c r="I167" i="4"/>
  <c r="K167" i="4" s="1"/>
  <c r="A169" i="4"/>
  <c r="H168" i="4"/>
  <c r="M168" i="4" l="1"/>
  <c r="J168" i="4"/>
  <c r="I168" i="4"/>
  <c r="K168" i="4" s="1"/>
  <c r="H169" i="4"/>
  <c r="A170" i="4"/>
  <c r="H170" i="4" l="1"/>
  <c r="A171" i="4"/>
  <c r="M169" i="4"/>
  <c r="J169" i="4"/>
  <c r="I169" i="4"/>
  <c r="K169" i="4" s="1"/>
  <c r="A172" i="4" l="1"/>
  <c r="H171" i="4"/>
  <c r="I170" i="4"/>
  <c r="K170" i="4" s="1"/>
  <c r="J170" i="4"/>
  <c r="M170" i="4"/>
  <c r="I171" i="4" l="1"/>
  <c r="K171" i="4" s="1"/>
  <c r="J171" i="4"/>
  <c r="M171" i="4"/>
  <c r="A173" i="4"/>
  <c r="H172" i="4"/>
  <c r="H173" i="4" l="1"/>
  <c r="A174" i="4"/>
  <c r="M172" i="4"/>
  <c r="I172" i="4"/>
  <c r="K172" i="4" s="1"/>
  <c r="J172" i="4"/>
  <c r="H174" i="4" l="1"/>
  <c r="A175" i="4"/>
  <c r="J173" i="4"/>
  <c r="I173" i="4"/>
  <c r="K173" i="4" s="1"/>
  <c r="M173" i="4"/>
  <c r="H175" i="4" l="1"/>
  <c r="A176" i="4"/>
  <c r="M174" i="4"/>
  <c r="J174" i="4"/>
  <c r="I174" i="4"/>
  <c r="K174" i="4" s="1"/>
  <c r="H176" i="4" l="1"/>
  <c r="A177" i="4"/>
  <c r="J175" i="4"/>
  <c r="M175" i="4"/>
  <c r="I175" i="4"/>
  <c r="K175" i="4" s="1"/>
  <c r="H177" i="4" l="1"/>
  <c r="A178" i="4"/>
  <c r="J176" i="4"/>
  <c r="I176" i="4"/>
  <c r="K176" i="4" s="1"/>
  <c r="M176" i="4"/>
  <c r="H178" i="4" l="1"/>
  <c r="A179" i="4"/>
  <c r="J177" i="4"/>
  <c r="I177" i="4"/>
  <c r="K177" i="4" s="1"/>
  <c r="M177" i="4"/>
  <c r="H13" i="18"/>
  <c r="H14" i="18" s="1"/>
  <c r="H15" i="18" s="1"/>
  <c r="H16" i="18" s="1"/>
  <c r="H17" i="18" s="1"/>
  <c r="H18" i="18" s="1"/>
  <c r="H19" i="18" s="1"/>
  <c r="H20" i="18" s="1"/>
  <c r="H21" i="18" s="1"/>
  <c r="B13" i="18"/>
  <c r="B14" i="18" s="1"/>
  <c r="B15" i="18" s="1"/>
  <c r="B16" i="18" s="1"/>
  <c r="B17" i="18" s="1"/>
  <c r="B18" i="18" s="1"/>
  <c r="B19" i="18" s="1"/>
  <c r="B20" i="18" s="1"/>
  <c r="B21" i="18" s="1"/>
  <c r="L12" i="18"/>
  <c r="J12" i="18"/>
  <c r="I12" i="18"/>
  <c r="K8" i="18"/>
  <c r="F7" i="18"/>
  <c r="D7" i="18"/>
  <c r="D15" i="18" s="1"/>
  <c r="L16" i="18" l="1"/>
  <c r="M16" i="18" s="1"/>
  <c r="L15" i="18"/>
  <c r="M15" i="18" s="1"/>
  <c r="J14" i="18"/>
  <c r="J15" i="18"/>
  <c r="J16" i="18"/>
  <c r="L14" i="18"/>
  <c r="M14" i="18" s="1"/>
  <c r="A180" i="4"/>
  <c r="H179" i="4"/>
  <c r="M178" i="4"/>
  <c r="J178" i="4"/>
  <c r="I178" i="4"/>
  <c r="K178" i="4" s="1"/>
  <c r="D16" i="18"/>
  <c r="C14" i="18"/>
  <c r="J13" i="18"/>
  <c r="L13" i="18"/>
  <c r="M13" i="18" s="1"/>
  <c r="M12" i="18"/>
  <c r="D17" i="18"/>
  <c r="D19" i="18"/>
  <c r="D18" i="18"/>
  <c r="Q13" i="18"/>
  <c r="Q14" i="18" s="1"/>
  <c r="Q15" i="18" s="1"/>
  <c r="Q16" i="18" s="1"/>
  <c r="Q17" i="18" s="1"/>
  <c r="Q18" i="18" s="1"/>
  <c r="Q19" i="18" s="1"/>
  <c r="Q20" i="18" s="1"/>
  <c r="Q21" i="18" s="1"/>
  <c r="I10" i="18"/>
  <c r="K12" i="18"/>
  <c r="P13" i="18"/>
  <c r="P14" i="18" s="1"/>
  <c r="P15" i="18" s="1"/>
  <c r="P16" i="18" s="1"/>
  <c r="P17" i="18" s="1"/>
  <c r="P18" i="18" s="1"/>
  <c r="P19" i="18" s="1"/>
  <c r="P20" i="18" s="1"/>
  <c r="P21" i="18" s="1"/>
  <c r="C13" i="18"/>
  <c r="C12" i="18"/>
  <c r="D20" i="18"/>
  <c r="D21" i="18"/>
  <c r="M179" i="4" l="1"/>
  <c r="J179" i="4"/>
  <c r="I179" i="4"/>
  <c r="K179" i="4" s="1"/>
  <c r="K14" i="18"/>
  <c r="N14" i="18"/>
  <c r="K15" i="18"/>
  <c r="N15" i="18"/>
  <c r="A181" i="4"/>
  <c r="H180" i="4"/>
  <c r="O14" i="18"/>
  <c r="K16" i="18"/>
  <c r="O16" i="18" s="1"/>
  <c r="N16" i="18"/>
  <c r="O15" i="18"/>
  <c r="N13" i="18"/>
  <c r="K13" i="18"/>
  <c r="O13" i="18" s="1"/>
  <c r="O12" i="18"/>
  <c r="M7" i="18"/>
  <c r="C10" i="18"/>
  <c r="D10" i="18"/>
  <c r="A182" i="4" l="1"/>
  <c r="H181" i="4"/>
  <c r="M180" i="4"/>
  <c r="J180" i="4"/>
  <c r="I180" i="4"/>
  <c r="K180" i="4" s="1"/>
  <c r="N8" i="18"/>
  <c r="L7" i="18"/>
  <c r="N7" i="18" s="1"/>
  <c r="E10" i="18"/>
  <c r="M181" i="4" l="1"/>
  <c r="J181" i="4"/>
  <c r="I181" i="4"/>
  <c r="K181" i="4" s="1"/>
  <c r="H182" i="4"/>
  <c r="A183" i="4"/>
  <c r="N287" i="5"/>
  <c r="N282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H5" i="4"/>
  <c r="D3" i="4"/>
  <c r="C3" i="4"/>
  <c r="B3" i="4" s="1"/>
  <c r="A184" i="4" l="1"/>
  <c r="H183" i="4"/>
  <c r="M182" i="4"/>
  <c r="J182" i="4"/>
  <c r="I182" i="4"/>
  <c r="K182" i="4" s="1"/>
  <c r="B112" i="4"/>
  <c r="B135" i="4"/>
  <c r="B113" i="4"/>
  <c r="B114" i="4"/>
  <c r="B136" i="4"/>
  <c r="B115" i="4"/>
  <c r="B137" i="4"/>
  <c r="B138" i="4"/>
  <c r="B116" i="4"/>
  <c r="B117" i="4"/>
  <c r="B139" i="4"/>
  <c r="B118" i="4"/>
  <c r="B140" i="4"/>
  <c r="B119" i="4"/>
  <c r="B141" i="4"/>
  <c r="B120" i="4"/>
  <c r="B142" i="4"/>
  <c r="B121" i="4"/>
  <c r="B143" i="4"/>
  <c r="B122" i="4"/>
  <c r="B144" i="4"/>
  <c r="B123" i="4"/>
  <c r="B145" i="4"/>
  <c r="B146" i="4"/>
  <c r="B124" i="4"/>
  <c r="B125" i="4"/>
  <c r="B147" i="4"/>
  <c r="B126" i="4"/>
  <c r="B148" i="4"/>
  <c r="B127" i="4"/>
  <c r="B149" i="4"/>
  <c r="B128" i="4"/>
  <c r="B150" i="4"/>
  <c r="B151" i="4"/>
  <c r="B129" i="4"/>
  <c r="B152" i="4"/>
  <c r="B130" i="4"/>
  <c r="B131" i="4"/>
  <c r="B153" i="4"/>
  <c r="B132" i="4"/>
  <c r="B154" i="4"/>
  <c r="B155" i="4"/>
  <c r="B133" i="4"/>
  <c r="B134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I5" i="4"/>
  <c r="K5" i="4" s="1"/>
  <c r="M5" i="4"/>
  <c r="J5" i="4"/>
  <c r="E4" i="5"/>
  <c r="E3" i="5"/>
  <c r="H7" i="4"/>
  <c r="H6" i="4"/>
  <c r="B7" i="4"/>
  <c r="B6" i="4"/>
  <c r="B5" i="4"/>
  <c r="I183" i="4" l="1"/>
  <c r="K183" i="4" s="1"/>
  <c r="M183" i="4"/>
  <c r="J183" i="4"/>
  <c r="A185" i="4"/>
  <c r="H184" i="4"/>
  <c r="F176" i="4"/>
  <c r="C176" i="4"/>
  <c r="E176" i="4" s="1"/>
  <c r="D176" i="4" s="1"/>
  <c r="F155" i="4"/>
  <c r="C155" i="4"/>
  <c r="E155" i="4" s="1"/>
  <c r="D155" i="4" s="1"/>
  <c r="F118" i="4"/>
  <c r="C118" i="4"/>
  <c r="E118" i="4" s="1"/>
  <c r="D118" i="4" s="1"/>
  <c r="F158" i="4"/>
  <c r="C158" i="4"/>
  <c r="E158" i="4" s="1"/>
  <c r="D158" i="4" s="1"/>
  <c r="C168" i="4"/>
  <c r="E168" i="4" s="1"/>
  <c r="D168" i="4" s="1"/>
  <c r="F168" i="4"/>
  <c r="F162" i="4"/>
  <c r="C162" i="4"/>
  <c r="E162" i="4" s="1"/>
  <c r="D162" i="4" s="1"/>
  <c r="F129" i="4"/>
  <c r="C129" i="4"/>
  <c r="E129" i="4" s="1"/>
  <c r="D129" i="4" s="1"/>
  <c r="C126" i="4"/>
  <c r="E126" i="4" s="1"/>
  <c r="D126" i="4" s="1"/>
  <c r="F126" i="4"/>
  <c r="F123" i="4"/>
  <c r="C123" i="4"/>
  <c r="E123" i="4" s="1"/>
  <c r="D123" i="4" s="1"/>
  <c r="F120" i="4"/>
  <c r="C120" i="4"/>
  <c r="E120" i="4" s="1"/>
  <c r="D120" i="4" s="1"/>
  <c r="F139" i="4"/>
  <c r="C139" i="4"/>
  <c r="E139" i="4" s="1"/>
  <c r="D139" i="4" s="1"/>
  <c r="C169" i="4"/>
  <c r="E169" i="4" s="1"/>
  <c r="D169" i="4" s="1"/>
  <c r="F169" i="4"/>
  <c r="F115" i="4"/>
  <c r="C115" i="4"/>
  <c r="E115" i="4" s="1"/>
  <c r="D115" i="4" s="1"/>
  <c r="F174" i="4"/>
  <c r="C174" i="4"/>
  <c r="E174" i="4" s="1"/>
  <c r="D174" i="4" s="1"/>
  <c r="F136" i="4"/>
  <c r="C136" i="4"/>
  <c r="E136" i="4" s="1"/>
  <c r="D136" i="4" s="1"/>
  <c r="F151" i="4"/>
  <c r="C151" i="4"/>
  <c r="E151" i="4" s="1"/>
  <c r="D151" i="4" s="1"/>
  <c r="C183" i="4"/>
  <c r="E183" i="4" s="1"/>
  <c r="D183" i="4" s="1"/>
  <c r="F183" i="4"/>
  <c r="F167" i="4"/>
  <c r="C167" i="4"/>
  <c r="E167" i="4" s="1"/>
  <c r="D167" i="4" s="1"/>
  <c r="F161" i="4"/>
  <c r="C161" i="4"/>
  <c r="E161" i="4" s="1"/>
  <c r="D161" i="4" s="1"/>
  <c r="F157" i="4"/>
  <c r="C157" i="4"/>
  <c r="E157" i="4" s="1"/>
  <c r="D157" i="4" s="1"/>
  <c r="C132" i="4"/>
  <c r="E132" i="4" s="1"/>
  <c r="D132" i="4" s="1"/>
  <c r="F132" i="4"/>
  <c r="F114" i="4"/>
  <c r="C114" i="4"/>
  <c r="E114" i="4" s="1"/>
  <c r="D114" i="4" s="1"/>
  <c r="F127" i="4"/>
  <c r="C127" i="4"/>
  <c r="E127" i="4" s="1"/>
  <c r="D127" i="4" s="1"/>
  <c r="F144" i="4"/>
  <c r="C144" i="4"/>
  <c r="E144" i="4" s="1"/>
  <c r="D144" i="4" s="1"/>
  <c r="C150" i="4"/>
  <c r="E150" i="4" s="1"/>
  <c r="D150" i="4" s="1"/>
  <c r="F150" i="4"/>
  <c r="F141" i="4"/>
  <c r="C141" i="4"/>
  <c r="E141" i="4" s="1"/>
  <c r="D141" i="4" s="1"/>
  <c r="F116" i="4"/>
  <c r="C116" i="4"/>
  <c r="E116" i="4" s="1"/>
  <c r="D116" i="4" s="1"/>
  <c r="C163" i="4"/>
  <c r="E163" i="4" s="1"/>
  <c r="D163" i="4" s="1"/>
  <c r="F163" i="4"/>
  <c r="C146" i="4"/>
  <c r="E146" i="4" s="1"/>
  <c r="D146" i="4" s="1"/>
  <c r="F146" i="4"/>
  <c r="C142" i="4"/>
  <c r="E142" i="4" s="1"/>
  <c r="D142" i="4" s="1"/>
  <c r="F142" i="4"/>
  <c r="C184" i="4"/>
  <c r="E184" i="4" s="1"/>
  <c r="D184" i="4" s="1"/>
  <c r="F184" i="4"/>
  <c r="C182" i="4"/>
  <c r="E182" i="4" s="1"/>
  <c r="D182" i="4" s="1"/>
  <c r="F182" i="4"/>
  <c r="C160" i="4"/>
  <c r="E160" i="4" s="1"/>
  <c r="D160" i="4" s="1"/>
  <c r="F160" i="4"/>
  <c r="C147" i="4"/>
  <c r="E147" i="4" s="1"/>
  <c r="D147" i="4" s="1"/>
  <c r="F147" i="4"/>
  <c r="F180" i="4"/>
  <c r="C180" i="4"/>
  <c r="E180" i="4" s="1"/>
  <c r="D180" i="4" s="1"/>
  <c r="F171" i="4"/>
  <c r="C171" i="4"/>
  <c r="E171" i="4" s="1"/>
  <c r="D171" i="4" s="1"/>
  <c r="F165" i="4"/>
  <c r="C165" i="4"/>
  <c r="E165" i="4" s="1"/>
  <c r="D165" i="4" s="1"/>
  <c r="F134" i="4"/>
  <c r="C134" i="4"/>
  <c r="E134" i="4" s="1"/>
  <c r="D134" i="4" s="1"/>
  <c r="C125" i="4"/>
  <c r="E125" i="4" s="1"/>
  <c r="D125" i="4" s="1"/>
  <c r="F125" i="4"/>
  <c r="F119" i="4"/>
  <c r="C119" i="4"/>
  <c r="E119" i="4" s="1"/>
  <c r="D119" i="4" s="1"/>
  <c r="F138" i="4"/>
  <c r="C138" i="4"/>
  <c r="E138" i="4" s="1"/>
  <c r="D138" i="4" s="1"/>
  <c r="C113" i="4"/>
  <c r="E113" i="4" s="1"/>
  <c r="D113" i="4" s="1"/>
  <c r="F113" i="4"/>
  <c r="F117" i="4"/>
  <c r="C117" i="4"/>
  <c r="E117" i="4" s="1"/>
  <c r="D117" i="4" s="1"/>
  <c r="F179" i="4"/>
  <c r="C179" i="4"/>
  <c r="E179" i="4" s="1"/>
  <c r="D179" i="4" s="1"/>
  <c r="F131" i="4"/>
  <c r="C131" i="4"/>
  <c r="E131" i="4" s="1"/>
  <c r="D131" i="4" s="1"/>
  <c r="F128" i="4"/>
  <c r="C128" i="4"/>
  <c r="E128" i="4" s="1"/>
  <c r="D128" i="4" s="1"/>
  <c r="C122" i="4"/>
  <c r="E122" i="4" s="1"/>
  <c r="D122" i="4" s="1"/>
  <c r="F122" i="4"/>
  <c r="F175" i="4"/>
  <c r="C175" i="4"/>
  <c r="E175" i="4" s="1"/>
  <c r="D175" i="4" s="1"/>
  <c r="C121" i="4"/>
  <c r="E121" i="4" s="1"/>
  <c r="D121" i="4" s="1"/>
  <c r="F121" i="4"/>
  <c r="F145" i="4"/>
  <c r="C145" i="4"/>
  <c r="E145" i="4" s="1"/>
  <c r="D145" i="4" s="1"/>
  <c r="F173" i="4"/>
  <c r="C173" i="4"/>
  <c r="E173" i="4" s="1"/>
  <c r="D173" i="4" s="1"/>
  <c r="C154" i="4"/>
  <c r="E154" i="4" s="1"/>
  <c r="D154" i="4" s="1"/>
  <c r="F154" i="4"/>
  <c r="F153" i="4"/>
  <c r="C153" i="4"/>
  <c r="E153" i="4" s="1"/>
  <c r="D153" i="4" s="1"/>
  <c r="C178" i="4"/>
  <c r="E178" i="4" s="1"/>
  <c r="D178" i="4" s="1"/>
  <c r="F178" i="4"/>
  <c r="C170" i="4"/>
  <c r="E170" i="4" s="1"/>
  <c r="D170" i="4" s="1"/>
  <c r="F170" i="4"/>
  <c r="F164" i="4"/>
  <c r="C164" i="4"/>
  <c r="E164" i="4" s="1"/>
  <c r="D164" i="4" s="1"/>
  <c r="F133" i="4"/>
  <c r="C133" i="4"/>
  <c r="E133" i="4" s="1"/>
  <c r="D133" i="4" s="1"/>
  <c r="F130" i="4"/>
  <c r="C130" i="4"/>
  <c r="E130" i="4" s="1"/>
  <c r="D130" i="4" s="1"/>
  <c r="F149" i="4"/>
  <c r="C149" i="4"/>
  <c r="E149" i="4" s="1"/>
  <c r="D149" i="4" s="1"/>
  <c r="F143" i="4"/>
  <c r="C143" i="4"/>
  <c r="E143" i="4" s="1"/>
  <c r="D143" i="4" s="1"/>
  <c r="F135" i="4"/>
  <c r="C135" i="4"/>
  <c r="E135" i="4" s="1"/>
  <c r="D135" i="4" s="1"/>
  <c r="C148" i="4"/>
  <c r="E148" i="4" s="1"/>
  <c r="D148" i="4" s="1"/>
  <c r="F148" i="4"/>
  <c r="F172" i="4"/>
  <c r="C172" i="4"/>
  <c r="E172" i="4" s="1"/>
  <c r="D172" i="4" s="1"/>
  <c r="C166" i="4"/>
  <c r="E166" i="4" s="1"/>
  <c r="D166" i="4" s="1"/>
  <c r="F166" i="4"/>
  <c r="F181" i="4"/>
  <c r="C181" i="4"/>
  <c r="E181" i="4" s="1"/>
  <c r="D181" i="4" s="1"/>
  <c r="F156" i="4"/>
  <c r="C156" i="4"/>
  <c r="E156" i="4" s="1"/>
  <c r="D156" i="4" s="1"/>
  <c r="C177" i="4"/>
  <c r="E177" i="4" s="1"/>
  <c r="D177" i="4" s="1"/>
  <c r="F177" i="4"/>
  <c r="C159" i="4"/>
  <c r="E159" i="4" s="1"/>
  <c r="D159" i="4" s="1"/>
  <c r="F159" i="4"/>
  <c r="C152" i="4"/>
  <c r="E152" i="4" s="1"/>
  <c r="D152" i="4" s="1"/>
  <c r="F152" i="4"/>
  <c r="F124" i="4"/>
  <c r="C124" i="4"/>
  <c r="E124" i="4" s="1"/>
  <c r="D124" i="4" s="1"/>
  <c r="F140" i="4"/>
  <c r="C140" i="4"/>
  <c r="E140" i="4" s="1"/>
  <c r="D140" i="4" s="1"/>
  <c r="C137" i="4"/>
  <c r="E137" i="4" s="1"/>
  <c r="D137" i="4" s="1"/>
  <c r="F137" i="4"/>
  <c r="F112" i="4"/>
  <c r="C112" i="4"/>
  <c r="E112" i="4" s="1"/>
  <c r="D112" i="4" s="1"/>
  <c r="C73" i="4"/>
  <c r="E73" i="4" s="1"/>
  <c r="D73" i="4" s="1"/>
  <c r="F73" i="4"/>
  <c r="C70" i="4"/>
  <c r="E70" i="4" s="1"/>
  <c r="D70" i="4" s="1"/>
  <c r="F70" i="4"/>
  <c r="C84" i="4"/>
  <c r="E84" i="4" s="1"/>
  <c r="D84" i="4" s="1"/>
  <c r="F84" i="4"/>
  <c r="F93" i="4"/>
  <c r="C93" i="4"/>
  <c r="E93" i="4" s="1"/>
  <c r="D93" i="4" s="1"/>
  <c r="C69" i="4"/>
  <c r="E69" i="4" s="1"/>
  <c r="D69" i="4" s="1"/>
  <c r="F69" i="4"/>
  <c r="F83" i="4"/>
  <c r="C83" i="4"/>
  <c r="E83" i="4" s="1"/>
  <c r="D83" i="4" s="1"/>
  <c r="C109" i="4"/>
  <c r="E109" i="4" s="1"/>
  <c r="D109" i="4" s="1"/>
  <c r="F109" i="4"/>
  <c r="F107" i="4"/>
  <c r="C107" i="4"/>
  <c r="E107" i="4" s="1"/>
  <c r="D107" i="4" s="1"/>
  <c r="C81" i="4"/>
  <c r="E81" i="4" s="1"/>
  <c r="D81" i="4" s="1"/>
  <c r="F81" i="4"/>
  <c r="C91" i="4"/>
  <c r="E91" i="4" s="1"/>
  <c r="D91" i="4" s="1"/>
  <c r="F91" i="4"/>
  <c r="F67" i="4"/>
  <c r="C67" i="4"/>
  <c r="E67" i="4" s="1"/>
  <c r="D67" i="4" s="1"/>
  <c r="C72" i="4"/>
  <c r="E72" i="4" s="1"/>
  <c r="D72" i="4" s="1"/>
  <c r="F72" i="4"/>
  <c r="C94" i="4"/>
  <c r="E94" i="4" s="1"/>
  <c r="D94" i="4" s="1"/>
  <c r="F94" i="4"/>
  <c r="C92" i="4"/>
  <c r="E92" i="4" s="1"/>
  <c r="D92" i="4" s="1"/>
  <c r="F92" i="4"/>
  <c r="F102" i="4"/>
  <c r="C102" i="4"/>
  <c r="E102" i="4" s="1"/>
  <c r="D102" i="4" s="1"/>
  <c r="F90" i="4"/>
  <c r="C90" i="4"/>
  <c r="E90" i="4" s="1"/>
  <c r="D90" i="4" s="1"/>
  <c r="F78" i="4"/>
  <c r="C78" i="4"/>
  <c r="E78" i="4" s="1"/>
  <c r="D78" i="4" s="1"/>
  <c r="C66" i="4"/>
  <c r="E66" i="4" s="1"/>
  <c r="D66" i="4" s="1"/>
  <c r="F66" i="4"/>
  <c r="C108" i="4"/>
  <c r="E108" i="4" s="1"/>
  <c r="D108" i="4" s="1"/>
  <c r="F108" i="4"/>
  <c r="F106" i="4"/>
  <c r="C106" i="4"/>
  <c r="E106" i="4" s="1"/>
  <c r="D106" i="4" s="1"/>
  <c r="F65" i="4"/>
  <c r="C65" i="4"/>
  <c r="E65" i="4" s="1"/>
  <c r="D65" i="4" s="1"/>
  <c r="C85" i="4"/>
  <c r="E85" i="4" s="1"/>
  <c r="D85" i="4" s="1"/>
  <c r="F85" i="4"/>
  <c r="C95" i="4"/>
  <c r="E95" i="4" s="1"/>
  <c r="D95" i="4" s="1"/>
  <c r="F95" i="4"/>
  <c r="C105" i="4"/>
  <c r="E105" i="4" s="1"/>
  <c r="D105" i="4" s="1"/>
  <c r="F105" i="4"/>
  <c r="C80" i="4"/>
  <c r="E80" i="4" s="1"/>
  <c r="D80" i="4" s="1"/>
  <c r="F80" i="4"/>
  <c r="C89" i="4"/>
  <c r="E89" i="4" s="1"/>
  <c r="D89" i="4" s="1"/>
  <c r="F89" i="4"/>
  <c r="C88" i="4"/>
  <c r="E88" i="4" s="1"/>
  <c r="D88" i="4" s="1"/>
  <c r="F88" i="4"/>
  <c r="F76" i="4"/>
  <c r="C76" i="4"/>
  <c r="E76" i="4" s="1"/>
  <c r="D76" i="4" s="1"/>
  <c r="F64" i="4"/>
  <c r="C64" i="4"/>
  <c r="E64" i="4" s="1"/>
  <c r="D64" i="4" s="1"/>
  <c r="C97" i="4"/>
  <c r="E97" i="4" s="1"/>
  <c r="D97" i="4" s="1"/>
  <c r="F97" i="4"/>
  <c r="C71" i="4"/>
  <c r="E71" i="4" s="1"/>
  <c r="D71" i="4" s="1"/>
  <c r="F71" i="4"/>
  <c r="F68" i="4"/>
  <c r="C68" i="4"/>
  <c r="E68" i="4" s="1"/>
  <c r="D68" i="4" s="1"/>
  <c r="C103" i="4"/>
  <c r="E103" i="4" s="1"/>
  <c r="D103" i="4" s="1"/>
  <c r="F103" i="4"/>
  <c r="C101" i="4"/>
  <c r="E101" i="4" s="1"/>
  <c r="D101" i="4" s="1"/>
  <c r="F101" i="4"/>
  <c r="F99" i="4"/>
  <c r="C99" i="4"/>
  <c r="E99" i="4" s="1"/>
  <c r="D99" i="4" s="1"/>
  <c r="C75" i="4"/>
  <c r="E75" i="4" s="1"/>
  <c r="D75" i="4" s="1"/>
  <c r="F75" i="4"/>
  <c r="F63" i="4"/>
  <c r="C63" i="4"/>
  <c r="E63" i="4" s="1"/>
  <c r="D63" i="4" s="1"/>
  <c r="C96" i="4"/>
  <c r="E96" i="4" s="1"/>
  <c r="D96" i="4" s="1"/>
  <c r="F96" i="4"/>
  <c r="F82" i="4"/>
  <c r="C82" i="4"/>
  <c r="E82" i="4" s="1"/>
  <c r="D82" i="4" s="1"/>
  <c r="C104" i="4"/>
  <c r="E104" i="4" s="1"/>
  <c r="D104" i="4" s="1"/>
  <c r="F104" i="4"/>
  <c r="C79" i="4"/>
  <c r="E79" i="4" s="1"/>
  <c r="D79" i="4" s="1"/>
  <c r="F79" i="4"/>
  <c r="F77" i="4"/>
  <c r="C77" i="4"/>
  <c r="E77" i="4" s="1"/>
  <c r="D77" i="4" s="1"/>
  <c r="F100" i="4"/>
  <c r="C100" i="4"/>
  <c r="E100" i="4" s="1"/>
  <c r="D100" i="4" s="1"/>
  <c r="F111" i="4"/>
  <c r="C111" i="4"/>
  <c r="E111" i="4" s="1"/>
  <c r="D111" i="4" s="1"/>
  <c r="C87" i="4"/>
  <c r="E87" i="4" s="1"/>
  <c r="D87" i="4" s="1"/>
  <c r="F87" i="4"/>
  <c r="F110" i="4"/>
  <c r="C110" i="4"/>
  <c r="E110" i="4" s="1"/>
  <c r="D110" i="4" s="1"/>
  <c r="C98" i="4"/>
  <c r="E98" i="4" s="1"/>
  <c r="D98" i="4" s="1"/>
  <c r="F98" i="4"/>
  <c r="F86" i="4"/>
  <c r="C86" i="4"/>
  <c r="E86" i="4" s="1"/>
  <c r="D86" i="4" s="1"/>
  <c r="C74" i="4"/>
  <c r="E74" i="4" s="1"/>
  <c r="D74" i="4" s="1"/>
  <c r="F74" i="4"/>
  <c r="F62" i="4"/>
  <c r="C62" i="4"/>
  <c r="E62" i="4" s="1"/>
  <c r="D62" i="4" s="1"/>
  <c r="I7" i="4"/>
  <c r="K7" i="4" s="1"/>
  <c r="J7" i="4"/>
  <c r="M7" i="4"/>
  <c r="I6" i="4"/>
  <c r="K6" i="4" s="1"/>
  <c r="J6" i="4"/>
  <c r="M6" i="4"/>
  <c r="E5" i="5"/>
  <c r="G4" i="5"/>
  <c r="H4" i="5"/>
  <c r="I4" i="5"/>
  <c r="J4" i="5"/>
  <c r="F4" i="5"/>
  <c r="H3" i="5"/>
  <c r="I3" i="5"/>
  <c r="J3" i="5"/>
  <c r="F3" i="5"/>
  <c r="G3" i="5"/>
  <c r="C7" i="4"/>
  <c r="F7" i="4"/>
  <c r="H8" i="4"/>
  <c r="B8" i="4"/>
  <c r="F5" i="4"/>
  <c r="C5" i="4"/>
  <c r="F6" i="4"/>
  <c r="C6" i="4"/>
  <c r="M184" i="4" l="1"/>
  <c r="J184" i="4"/>
  <c r="I184" i="4"/>
  <c r="K184" i="4" s="1"/>
  <c r="H185" i="4"/>
  <c r="A186" i="4"/>
  <c r="B185" i="4"/>
  <c r="E6" i="4"/>
  <c r="D6" i="4" s="1"/>
  <c r="E7" i="4"/>
  <c r="D7" i="4" s="1"/>
  <c r="E5" i="4"/>
  <c r="D5" i="4" s="1"/>
  <c r="I8" i="4"/>
  <c r="K8" i="4" s="1"/>
  <c r="J8" i="4"/>
  <c r="M8" i="4"/>
  <c r="E6" i="5"/>
  <c r="J5" i="5"/>
  <c r="F5" i="5"/>
  <c r="G5" i="5"/>
  <c r="H5" i="5"/>
  <c r="I5" i="5"/>
  <c r="L4" i="5"/>
  <c r="L3" i="5"/>
  <c r="M3" i="5" s="1"/>
  <c r="M4" i="5" s="1"/>
  <c r="H9" i="4"/>
  <c r="B9" i="4"/>
  <c r="C8" i="4"/>
  <c r="F8" i="4"/>
  <c r="C185" i="4" l="1"/>
  <c r="E185" i="4" s="1"/>
  <c r="D185" i="4" s="1"/>
  <c r="F185" i="4"/>
  <c r="H186" i="4"/>
  <c r="A187" i="4"/>
  <c r="B186" i="4"/>
  <c r="I185" i="4"/>
  <c r="K185" i="4" s="1"/>
  <c r="M185" i="4"/>
  <c r="J185" i="4"/>
  <c r="E8" i="4"/>
  <c r="D8" i="4" s="1"/>
  <c r="I9" i="4"/>
  <c r="K9" i="4" s="1"/>
  <c r="J9" i="4"/>
  <c r="M9" i="4"/>
  <c r="E7" i="5"/>
  <c r="I6" i="5"/>
  <c r="J6" i="5"/>
  <c r="F6" i="5"/>
  <c r="G6" i="5"/>
  <c r="H6" i="5"/>
  <c r="L5" i="5"/>
  <c r="M5" i="5"/>
  <c r="H10" i="4"/>
  <c r="B10" i="4"/>
  <c r="F9" i="4"/>
  <c r="C9" i="4"/>
  <c r="F186" i="4" l="1"/>
  <c r="C186" i="4"/>
  <c r="E186" i="4" s="1"/>
  <c r="D186" i="4" s="1"/>
  <c r="H187" i="4"/>
  <c r="A188" i="4"/>
  <c r="B187" i="4"/>
  <c r="M186" i="4"/>
  <c r="I186" i="4"/>
  <c r="K186" i="4" s="1"/>
  <c r="J186" i="4"/>
  <c r="E9" i="4"/>
  <c r="D9" i="4" s="1"/>
  <c r="I10" i="4"/>
  <c r="K10" i="4" s="1"/>
  <c r="J10" i="4"/>
  <c r="M10" i="4"/>
  <c r="E8" i="5"/>
  <c r="L6" i="5"/>
  <c r="M6" i="5"/>
  <c r="H7" i="5"/>
  <c r="I7" i="5"/>
  <c r="J7" i="5"/>
  <c r="F7" i="5"/>
  <c r="G7" i="5"/>
  <c r="H11" i="4"/>
  <c r="B11" i="4"/>
  <c r="F10" i="4"/>
  <c r="C10" i="4"/>
  <c r="C187" i="4" l="1"/>
  <c r="E187" i="4" s="1"/>
  <c r="D187" i="4" s="1"/>
  <c r="F187" i="4"/>
  <c r="H188" i="4"/>
  <c r="A189" i="4"/>
  <c r="B188" i="4"/>
  <c r="I187" i="4"/>
  <c r="K187" i="4" s="1"/>
  <c r="M187" i="4"/>
  <c r="J187" i="4"/>
  <c r="E10" i="4"/>
  <c r="D10" i="4" s="1"/>
  <c r="I11" i="4"/>
  <c r="K11" i="4" s="1"/>
  <c r="J11" i="4"/>
  <c r="M11" i="4"/>
  <c r="J8" i="5"/>
  <c r="F8" i="5"/>
  <c r="G8" i="5"/>
  <c r="H8" i="5"/>
  <c r="I8" i="5"/>
  <c r="E9" i="5"/>
  <c r="M7" i="5"/>
  <c r="N7" i="5" s="1"/>
  <c r="L7" i="5"/>
  <c r="H12" i="4"/>
  <c r="B12" i="4"/>
  <c r="C11" i="4"/>
  <c r="F11" i="4"/>
  <c r="F188" i="4" l="1"/>
  <c r="C188" i="4"/>
  <c r="E188" i="4" s="1"/>
  <c r="D188" i="4" s="1"/>
  <c r="H189" i="4"/>
  <c r="A190" i="4"/>
  <c r="B189" i="4"/>
  <c r="J188" i="4"/>
  <c r="I188" i="4"/>
  <c r="K188" i="4" s="1"/>
  <c r="M188" i="4"/>
  <c r="E11" i="4"/>
  <c r="D11" i="4" s="1"/>
  <c r="I12" i="4"/>
  <c r="K12" i="4" s="1"/>
  <c r="J12" i="4"/>
  <c r="M12" i="4"/>
  <c r="L8" i="5"/>
  <c r="M8" i="5"/>
  <c r="I9" i="5"/>
  <c r="J9" i="5"/>
  <c r="F9" i="5"/>
  <c r="G9" i="5"/>
  <c r="H9" i="5"/>
  <c r="E10" i="5"/>
  <c r="C12" i="4"/>
  <c r="F12" i="4"/>
  <c r="H13" i="4"/>
  <c r="B13" i="4"/>
  <c r="F189" i="4" l="1"/>
  <c r="C189" i="4"/>
  <c r="E189" i="4" s="1"/>
  <c r="D189" i="4" s="1"/>
  <c r="A191" i="4"/>
  <c r="H190" i="4"/>
  <c r="B190" i="4"/>
  <c r="J189" i="4"/>
  <c r="I189" i="4"/>
  <c r="K189" i="4" s="1"/>
  <c r="M189" i="4"/>
  <c r="E12" i="4"/>
  <c r="D12" i="4" s="1"/>
  <c r="I13" i="4"/>
  <c r="K13" i="4" s="1"/>
  <c r="M13" i="4"/>
  <c r="J13" i="4"/>
  <c r="H10" i="5"/>
  <c r="I10" i="5"/>
  <c r="J10" i="5"/>
  <c r="F10" i="5"/>
  <c r="G10" i="5"/>
  <c r="L9" i="5"/>
  <c r="M9" i="5"/>
  <c r="E11" i="5"/>
  <c r="H14" i="4"/>
  <c r="B14" i="4"/>
  <c r="F13" i="4"/>
  <c r="C13" i="4"/>
  <c r="F190" i="4" l="1"/>
  <c r="C190" i="4"/>
  <c r="E190" i="4" s="1"/>
  <c r="D190" i="4" s="1"/>
  <c r="M190" i="4"/>
  <c r="I190" i="4"/>
  <c r="K190" i="4" s="1"/>
  <c r="J190" i="4"/>
  <c r="H191" i="4"/>
  <c r="A192" i="4"/>
  <c r="B191" i="4"/>
  <c r="E13" i="4"/>
  <c r="D13" i="4" s="1"/>
  <c r="I14" i="4"/>
  <c r="K14" i="4" s="1"/>
  <c r="M14" i="4"/>
  <c r="J14" i="4"/>
  <c r="G11" i="5"/>
  <c r="H11" i="5"/>
  <c r="I11" i="5"/>
  <c r="J11" i="5"/>
  <c r="F11" i="5"/>
  <c r="E12" i="5"/>
  <c r="M10" i="5"/>
  <c r="L10" i="5"/>
  <c r="H15" i="4"/>
  <c r="B15" i="4"/>
  <c r="F14" i="4"/>
  <c r="C14" i="4"/>
  <c r="A193" i="4" l="1"/>
  <c r="H192" i="4"/>
  <c r="B192" i="4"/>
  <c r="I191" i="4"/>
  <c r="K191" i="4" s="1"/>
  <c r="M191" i="4"/>
  <c r="J191" i="4"/>
  <c r="F191" i="4"/>
  <c r="C191" i="4"/>
  <c r="E191" i="4" s="1"/>
  <c r="D191" i="4" s="1"/>
  <c r="E14" i="4"/>
  <c r="D14" i="4" s="1"/>
  <c r="I15" i="4"/>
  <c r="K15" i="4" s="1"/>
  <c r="M15" i="4"/>
  <c r="J15" i="4"/>
  <c r="L11" i="5"/>
  <c r="M11" i="5"/>
  <c r="E13" i="5"/>
  <c r="J12" i="5"/>
  <c r="F12" i="5"/>
  <c r="G12" i="5"/>
  <c r="H12" i="5"/>
  <c r="I12" i="5"/>
  <c r="H16" i="4"/>
  <c r="B16" i="4"/>
  <c r="C15" i="4"/>
  <c r="F15" i="4"/>
  <c r="C192" i="4" l="1"/>
  <c r="E192" i="4" s="1"/>
  <c r="D192" i="4" s="1"/>
  <c r="F192" i="4"/>
  <c r="J192" i="4"/>
  <c r="M192" i="4"/>
  <c r="I192" i="4"/>
  <c r="K192" i="4" s="1"/>
  <c r="A194" i="4"/>
  <c r="H193" i="4"/>
  <c r="B193" i="4"/>
  <c r="E15" i="4"/>
  <c r="D15" i="4" s="1"/>
  <c r="I16" i="4"/>
  <c r="K16" i="4" s="1"/>
  <c r="J16" i="4"/>
  <c r="M16" i="4"/>
  <c r="E14" i="5"/>
  <c r="L12" i="5"/>
  <c r="M12" i="5"/>
  <c r="N12" i="5" s="1"/>
  <c r="H13" i="5"/>
  <c r="I13" i="5"/>
  <c r="J13" i="5"/>
  <c r="F13" i="5"/>
  <c r="G13" i="5"/>
  <c r="C16" i="4"/>
  <c r="F16" i="4"/>
  <c r="H17" i="4"/>
  <c r="B17" i="4"/>
  <c r="C193" i="4" l="1"/>
  <c r="E193" i="4" s="1"/>
  <c r="D193" i="4" s="1"/>
  <c r="F193" i="4"/>
  <c r="A195" i="4"/>
  <c r="H194" i="4"/>
  <c r="B194" i="4"/>
  <c r="M193" i="4"/>
  <c r="I193" i="4"/>
  <c r="K193" i="4" s="1"/>
  <c r="J193" i="4"/>
  <c r="E16" i="4"/>
  <c r="D16" i="4" s="1"/>
  <c r="I17" i="4"/>
  <c r="K17" i="4" s="1"/>
  <c r="J17" i="4"/>
  <c r="M17" i="4"/>
  <c r="E15" i="5"/>
  <c r="G14" i="5"/>
  <c r="H14" i="5"/>
  <c r="I14" i="5"/>
  <c r="J14" i="5"/>
  <c r="F14" i="5"/>
  <c r="M13" i="5"/>
  <c r="L13" i="5"/>
  <c r="H18" i="4"/>
  <c r="B18" i="4"/>
  <c r="F17" i="4"/>
  <c r="C17" i="4"/>
  <c r="F194" i="4" l="1"/>
  <c r="C194" i="4"/>
  <c r="E194" i="4" s="1"/>
  <c r="D194" i="4" s="1"/>
  <c r="J194" i="4"/>
  <c r="M194" i="4"/>
  <c r="I194" i="4"/>
  <c r="K194" i="4" s="1"/>
  <c r="H195" i="4"/>
  <c r="A196" i="4"/>
  <c r="B195" i="4"/>
  <c r="E17" i="4"/>
  <c r="D17" i="4" s="1"/>
  <c r="I18" i="4"/>
  <c r="K18" i="4" s="1"/>
  <c r="J18" i="4"/>
  <c r="M18" i="4"/>
  <c r="J15" i="5"/>
  <c r="F15" i="5"/>
  <c r="G15" i="5"/>
  <c r="H15" i="5"/>
  <c r="I15" i="5"/>
  <c r="L14" i="5"/>
  <c r="M14" i="5"/>
  <c r="E16" i="5"/>
  <c r="H19" i="4"/>
  <c r="B19" i="4"/>
  <c r="F18" i="4"/>
  <c r="C18" i="4"/>
  <c r="H196" i="4" l="1"/>
  <c r="A197" i="4"/>
  <c r="B196" i="4"/>
  <c r="F195" i="4"/>
  <c r="C195" i="4"/>
  <c r="E195" i="4" s="1"/>
  <c r="D195" i="4" s="1"/>
  <c r="I195" i="4"/>
  <c r="K195" i="4" s="1"/>
  <c r="M195" i="4"/>
  <c r="J195" i="4"/>
  <c r="E18" i="4"/>
  <c r="D18" i="4" s="1"/>
  <c r="I19" i="4"/>
  <c r="K19" i="4" s="1"/>
  <c r="J19" i="4"/>
  <c r="M19" i="4"/>
  <c r="I16" i="5"/>
  <c r="J16" i="5"/>
  <c r="F16" i="5"/>
  <c r="G16" i="5"/>
  <c r="H16" i="5"/>
  <c r="L15" i="5"/>
  <c r="M15" i="5"/>
  <c r="E17" i="5"/>
  <c r="H20" i="4"/>
  <c r="B20" i="4"/>
  <c r="C19" i="4"/>
  <c r="F19" i="4"/>
  <c r="H197" i="4" l="1"/>
  <c r="A198" i="4"/>
  <c r="B197" i="4"/>
  <c r="F196" i="4"/>
  <c r="C196" i="4"/>
  <c r="E196" i="4" s="1"/>
  <c r="D196" i="4" s="1"/>
  <c r="M196" i="4"/>
  <c r="I196" i="4"/>
  <c r="K196" i="4" s="1"/>
  <c r="J196" i="4"/>
  <c r="E19" i="4"/>
  <c r="D19" i="4" s="1"/>
  <c r="I20" i="4"/>
  <c r="K20" i="4" s="1"/>
  <c r="J20" i="4"/>
  <c r="M20" i="4"/>
  <c r="E18" i="5"/>
  <c r="L16" i="5"/>
  <c r="M16" i="5"/>
  <c r="H17" i="5"/>
  <c r="I17" i="5"/>
  <c r="J17" i="5"/>
  <c r="F17" i="5"/>
  <c r="G17" i="5"/>
  <c r="H21" i="4"/>
  <c r="B21" i="4"/>
  <c r="C20" i="4"/>
  <c r="F20" i="4"/>
  <c r="C197" i="4" l="1"/>
  <c r="E197" i="4" s="1"/>
  <c r="D197" i="4" s="1"/>
  <c r="F197" i="4"/>
  <c r="A199" i="4"/>
  <c r="H198" i="4"/>
  <c r="B198" i="4"/>
  <c r="I197" i="4"/>
  <c r="K197" i="4" s="1"/>
  <c r="J197" i="4"/>
  <c r="M197" i="4"/>
  <c r="E20" i="4"/>
  <c r="D20" i="4" s="1"/>
  <c r="I21" i="4"/>
  <c r="K21" i="4" s="1"/>
  <c r="J21" i="4"/>
  <c r="M21" i="4"/>
  <c r="E19" i="5"/>
  <c r="J18" i="5"/>
  <c r="F18" i="5"/>
  <c r="G18" i="5"/>
  <c r="H18" i="5"/>
  <c r="I18" i="5"/>
  <c r="M17" i="5"/>
  <c r="N17" i="5" s="1"/>
  <c r="L17" i="5"/>
  <c r="H22" i="4"/>
  <c r="B22" i="4"/>
  <c r="F21" i="4"/>
  <c r="C21" i="4"/>
  <c r="F198" i="4" l="1"/>
  <c r="C198" i="4"/>
  <c r="E198" i="4" s="1"/>
  <c r="D198" i="4" s="1"/>
  <c r="I198" i="4"/>
  <c r="K198" i="4" s="1"/>
  <c r="M198" i="4"/>
  <c r="J198" i="4"/>
  <c r="A200" i="4"/>
  <c r="H199" i="4"/>
  <c r="B199" i="4"/>
  <c r="E21" i="4"/>
  <c r="D21" i="4" s="1"/>
  <c r="I22" i="4"/>
  <c r="K22" i="4" s="1"/>
  <c r="M22" i="4"/>
  <c r="J22" i="4"/>
  <c r="E20" i="5"/>
  <c r="I19" i="5"/>
  <c r="J19" i="5"/>
  <c r="F19" i="5"/>
  <c r="G19" i="5"/>
  <c r="H19" i="5"/>
  <c r="L18" i="5"/>
  <c r="M18" i="5"/>
  <c r="H23" i="4"/>
  <c r="B23" i="4"/>
  <c r="F22" i="4"/>
  <c r="C22" i="4"/>
  <c r="J199" i="4" l="1"/>
  <c r="M199" i="4"/>
  <c r="I199" i="4"/>
  <c r="K199" i="4" s="1"/>
  <c r="A201" i="4"/>
  <c r="H200" i="4"/>
  <c r="B200" i="4"/>
  <c r="C199" i="4"/>
  <c r="E199" i="4" s="1"/>
  <c r="D199" i="4" s="1"/>
  <c r="F199" i="4"/>
  <c r="E22" i="4"/>
  <c r="D22" i="4" s="1"/>
  <c r="I23" i="4"/>
  <c r="K23" i="4" s="1"/>
  <c r="J23" i="4"/>
  <c r="M23" i="4"/>
  <c r="L19" i="5"/>
  <c r="M19" i="5"/>
  <c r="E21" i="5"/>
  <c r="H20" i="5"/>
  <c r="I20" i="5"/>
  <c r="J20" i="5"/>
  <c r="F20" i="5"/>
  <c r="G20" i="5"/>
  <c r="H24" i="4"/>
  <c r="B24" i="4"/>
  <c r="C23" i="4"/>
  <c r="F23" i="4"/>
  <c r="I200" i="4" l="1"/>
  <c r="K200" i="4" s="1"/>
  <c r="M200" i="4"/>
  <c r="J200" i="4"/>
  <c r="C200" i="4"/>
  <c r="E200" i="4" s="1"/>
  <c r="D200" i="4" s="1"/>
  <c r="F200" i="4"/>
  <c r="H201" i="4"/>
  <c r="A202" i="4"/>
  <c r="B201" i="4"/>
  <c r="E23" i="4"/>
  <c r="D23" i="4" s="1"/>
  <c r="I24" i="4"/>
  <c r="K24" i="4" s="1"/>
  <c r="M24" i="4"/>
  <c r="J24" i="4"/>
  <c r="E22" i="5"/>
  <c r="M20" i="5"/>
  <c r="L20" i="5"/>
  <c r="G21" i="5"/>
  <c r="H21" i="5"/>
  <c r="I21" i="5"/>
  <c r="J21" i="5"/>
  <c r="F21" i="5"/>
  <c r="H25" i="4"/>
  <c r="B25" i="4"/>
  <c r="C24" i="4"/>
  <c r="F24" i="4"/>
  <c r="H202" i="4" l="1"/>
  <c r="A203" i="4"/>
  <c r="B202" i="4"/>
  <c r="M201" i="4"/>
  <c r="J201" i="4"/>
  <c r="I201" i="4"/>
  <c r="K201" i="4" s="1"/>
  <c r="F201" i="4"/>
  <c r="C201" i="4"/>
  <c r="E201" i="4" s="1"/>
  <c r="D201" i="4" s="1"/>
  <c r="E24" i="4"/>
  <c r="D24" i="4" s="1"/>
  <c r="I25" i="4"/>
  <c r="K25" i="4" s="1"/>
  <c r="M25" i="4"/>
  <c r="J25" i="4"/>
  <c r="L21" i="5"/>
  <c r="M21" i="5"/>
  <c r="E23" i="5"/>
  <c r="J22" i="5"/>
  <c r="F22" i="5"/>
  <c r="G22" i="5"/>
  <c r="H22" i="5"/>
  <c r="I22" i="5"/>
  <c r="F25" i="4"/>
  <c r="C25" i="4"/>
  <c r="H26" i="4"/>
  <c r="B26" i="4"/>
  <c r="H203" i="4" l="1"/>
  <c r="A204" i="4"/>
  <c r="B203" i="4"/>
  <c r="F202" i="4"/>
  <c r="C202" i="4"/>
  <c r="E202" i="4" s="1"/>
  <c r="D202" i="4" s="1"/>
  <c r="J202" i="4"/>
  <c r="M202" i="4"/>
  <c r="I202" i="4"/>
  <c r="K202" i="4" s="1"/>
  <c r="E25" i="4"/>
  <c r="D25" i="4" s="1"/>
  <c r="I26" i="4"/>
  <c r="K26" i="4" s="1"/>
  <c r="M26" i="4"/>
  <c r="J26" i="4"/>
  <c r="L22" i="5"/>
  <c r="M22" i="5"/>
  <c r="N22" i="5" s="1"/>
  <c r="E24" i="5"/>
  <c r="H23" i="5"/>
  <c r="I23" i="5"/>
  <c r="J23" i="5"/>
  <c r="F23" i="5"/>
  <c r="G23" i="5"/>
  <c r="H27" i="4"/>
  <c r="B27" i="4"/>
  <c r="F26" i="4"/>
  <c r="C26" i="4"/>
  <c r="F203" i="4" l="1"/>
  <c r="C203" i="4"/>
  <c r="E203" i="4" s="1"/>
  <c r="D203" i="4" s="1"/>
  <c r="H204" i="4"/>
  <c r="A205" i="4"/>
  <c r="B204" i="4"/>
  <c r="I203" i="4"/>
  <c r="K203" i="4" s="1"/>
  <c r="J203" i="4"/>
  <c r="M203" i="4"/>
  <c r="E26" i="4"/>
  <c r="D26" i="4" s="1"/>
  <c r="I27" i="4"/>
  <c r="K27" i="4" s="1"/>
  <c r="M27" i="4"/>
  <c r="J27" i="4"/>
  <c r="E25" i="5"/>
  <c r="M23" i="5"/>
  <c r="L23" i="5"/>
  <c r="G24" i="5"/>
  <c r="H24" i="5"/>
  <c r="I24" i="5"/>
  <c r="J24" i="5"/>
  <c r="F24" i="5"/>
  <c r="H28" i="4"/>
  <c r="B28" i="4"/>
  <c r="C27" i="4"/>
  <c r="F27" i="4"/>
  <c r="F204" i="4" l="1"/>
  <c r="C204" i="4"/>
  <c r="E204" i="4" s="1"/>
  <c r="D204" i="4" s="1"/>
  <c r="H205" i="4"/>
  <c r="A206" i="4"/>
  <c r="B205" i="4"/>
  <c r="J204" i="4"/>
  <c r="I204" i="4"/>
  <c r="K204" i="4" s="1"/>
  <c r="M204" i="4"/>
  <c r="E27" i="4"/>
  <c r="D27" i="4" s="1"/>
  <c r="I28" i="4"/>
  <c r="K28" i="4" s="1"/>
  <c r="J28" i="4"/>
  <c r="M28" i="4"/>
  <c r="L24" i="5"/>
  <c r="M24" i="5"/>
  <c r="E26" i="5"/>
  <c r="J25" i="5"/>
  <c r="F25" i="5"/>
  <c r="G25" i="5"/>
  <c r="H25" i="5"/>
  <c r="I25" i="5"/>
  <c r="H29" i="4"/>
  <c r="B29" i="4"/>
  <c r="C28" i="4"/>
  <c r="F28" i="4"/>
  <c r="F205" i="4" l="1"/>
  <c r="C205" i="4"/>
  <c r="E205" i="4" s="1"/>
  <c r="D205" i="4" s="1"/>
  <c r="H206" i="4"/>
  <c r="A207" i="4"/>
  <c r="B206" i="4"/>
  <c r="I205" i="4"/>
  <c r="K205" i="4" s="1"/>
  <c r="J205" i="4"/>
  <c r="M205" i="4"/>
  <c r="E28" i="4"/>
  <c r="D28" i="4" s="1"/>
  <c r="I29" i="4"/>
  <c r="K29" i="4" s="1"/>
  <c r="J29" i="4"/>
  <c r="M29" i="4"/>
  <c r="L25" i="5"/>
  <c r="M25" i="5"/>
  <c r="E27" i="5"/>
  <c r="I26" i="5"/>
  <c r="J26" i="5"/>
  <c r="F26" i="5"/>
  <c r="G26" i="5"/>
  <c r="H26" i="5"/>
  <c r="H30" i="4"/>
  <c r="B30" i="4"/>
  <c r="F29" i="4"/>
  <c r="C29" i="4"/>
  <c r="C206" i="4" l="1"/>
  <c r="E206" i="4" s="1"/>
  <c r="D206" i="4" s="1"/>
  <c r="F206" i="4"/>
  <c r="A208" i="4"/>
  <c r="H207" i="4"/>
  <c r="B207" i="4"/>
  <c r="J206" i="4"/>
  <c r="M206" i="4"/>
  <c r="I206" i="4"/>
  <c r="K206" i="4" s="1"/>
  <c r="E29" i="4"/>
  <c r="D29" i="4" s="1"/>
  <c r="I30" i="4"/>
  <c r="K30" i="4" s="1"/>
  <c r="J30" i="4"/>
  <c r="M30" i="4"/>
  <c r="L26" i="5"/>
  <c r="M26" i="5"/>
  <c r="H27" i="5"/>
  <c r="I27" i="5"/>
  <c r="J27" i="5"/>
  <c r="F27" i="5"/>
  <c r="G27" i="5"/>
  <c r="E28" i="5"/>
  <c r="H31" i="4"/>
  <c r="B31" i="4"/>
  <c r="F30" i="4"/>
  <c r="C30" i="4"/>
  <c r="C207" i="4" l="1"/>
  <c r="E207" i="4" s="1"/>
  <c r="D207" i="4" s="1"/>
  <c r="F207" i="4"/>
  <c r="M207" i="4"/>
  <c r="I207" i="4"/>
  <c r="K207" i="4" s="1"/>
  <c r="J207" i="4"/>
  <c r="A209" i="4"/>
  <c r="H208" i="4"/>
  <c r="B208" i="4"/>
  <c r="E30" i="4"/>
  <c r="D30" i="4" s="1"/>
  <c r="I31" i="4"/>
  <c r="K31" i="4" s="1"/>
  <c r="J31" i="4"/>
  <c r="M31" i="4"/>
  <c r="J28" i="5"/>
  <c r="F28" i="5"/>
  <c r="G28" i="5"/>
  <c r="H28" i="5"/>
  <c r="I28" i="5"/>
  <c r="M27" i="5"/>
  <c r="N27" i="5" s="1"/>
  <c r="L27" i="5"/>
  <c r="E29" i="5"/>
  <c r="H32" i="4"/>
  <c r="B32" i="4"/>
  <c r="F31" i="4"/>
  <c r="C31" i="4"/>
  <c r="F208" i="4" l="1"/>
  <c r="C208" i="4"/>
  <c r="E208" i="4" s="1"/>
  <c r="D208" i="4" s="1"/>
  <c r="A210" i="4"/>
  <c r="H209" i="4"/>
  <c r="B209" i="4"/>
  <c r="M208" i="4"/>
  <c r="I208" i="4"/>
  <c r="K208" i="4" s="1"/>
  <c r="J208" i="4"/>
  <c r="E31" i="4"/>
  <c r="D31" i="4" s="1"/>
  <c r="I32" i="4"/>
  <c r="K32" i="4" s="1"/>
  <c r="J32" i="4"/>
  <c r="M32" i="4"/>
  <c r="I29" i="5"/>
  <c r="J29" i="5"/>
  <c r="F29" i="5"/>
  <c r="G29" i="5"/>
  <c r="H29" i="5"/>
  <c r="L28" i="5"/>
  <c r="M28" i="5"/>
  <c r="E30" i="5"/>
  <c r="H33" i="4"/>
  <c r="B33" i="4"/>
  <c r="C32" i="4"/>
  <c r="F32" i="4"/>
  <c r="M209" i="4" l="1"/>
  <c r="I209" i="4"/>
  <c r="K209" i="4" s="1"/>
  <c r="J209" i="4"/>
  <c r="C209" i="4"/>
  <c r="E209" i="4" s="1"/>
  <c r="D209" i="4" s="1"/>
  <c r="F209" i="4"/>
  <c r="A211" i="4"/>
  <c r="H210" i="4"/>
  <c r="B210" i="4"/>
  <c r="E32" i="4"/>
  <c r="D32" i="4" s="1"/>
  <c r="I33" i="4"/>
  <c r="K33" i="4" s="1"/>
  <c r="J33" i="4"/>
  <c r="M33" i="4"/>
  <c r="H30" i="5"/>
  <c r="I30" i="5"/>
  <c r="J30" i="5"/>
  <c r="F30" i="5"/>
  <c r="G30" i="5"/>
  <c r="L29" i="5"/>
  <c r="M29" i="5"/>
  <c r="E31" i="5"/>
  <c r="F33" i="4"/>
  <c r="C33" i="4"/>
  <c r="H34" i="4"/>
  <c r="B34" i="4"/>
  <c r="M210" i="4" l="1"/>
  <c r="I210" i="4"/>
  <c r="K210" i="4" s="1"/>
  <c r="J210" i="4"/>
  <c r="F210" i="4"/>
  <c r="C210" i="4"/>
  <c r="E210" i="4" s="1"/>
  <c r="D210" i="4" s="1"/>
  <c r="H211" i="4"/>
  <c r="A212" i="4"/>
  <c r="B211" i="4"/>
  <c r="E33" i="4"/>
  <c r="D33" i="4" s="1"/>
  <c r="I34" i="4"/>
  <c r="K34" i="4" s="1"/>
  <c r="M34" i="4"/>
  <c r="J34" i="4"/>
  <c r="G31" i="5"/>
  <c r="H31" i="5"/>
  <c r="I31" i="5"/>
  <c r="J31" i="5"/>
  <c r="F31" i="5"/>
  <c r="E32" i="5"/>
  <c r="M30" i="5"/>
  <c r="L30" i="5"/>
  <c r="F34" i="4"/>
  <c r="C34" i="4"/>
  <c r="H35" i="4"/>
  <c r="B35" i="4"/>
  <c r="C211" i="4" l="1"/>
  <c r="E211" i="4" s="1"/>
  <c r="D211" i="4" s="1"/>
  <c r="F211" i="4"/>
  <c r="A213" i="4"/>
  <c r="H212" i="4"/>
  <c r="B212" i="4"/>
  <c r="M211" i="4"/>
  <c r="J211" i="4"/>
  <c r="I211" i="4"/>
  <c r="K211" i="4" s="1"/>
  <c r="E34" i="4"/>
  <c r="D34" i="4" s="1"/>
  <c r="I35" i="4"/>
  <c r="K35" i="4" s="1"/>
  <c r="J35" i="4"/>
  <c r="M35" i="4"/>
  <c r="E33" i="5"/>
  <c r="L31" i="5"/>
  <c r="M31" i="5"/>
  <c r="J32" i="5"/>
  <c r="F32" i="5"/>
  <c r="G32" i="5"/>
  <c r="H32" i="5"/>
  <c r="I32" i="5"/>
  <c r="H36" i="4"/>
  <c r="B36" i="4"/>
  <c r="C35" i="4"/>
  <c r="F35" i="4"/>
  <c r="C212" i="4" l="1"/>
  <c r="E212" i="4" s="1"/>
  <c r="D212" i="4" s="1"/>
  <c r="F212" i="4"/>
  <c r="I212" i="4"/>
  <c r="K212" i="4" s="1"/>
  <c r="J212" i="4"/>
  <c r="M212" i="4"/>
  <c r="A214" i="4"/>
  <c r="H213" i="4"/>
  <c r="B213" i="4"/>
  <c r="E35" i="4"/>
  <c r="D35" i="4" s="1"/>
  <c r="I36" i="4"/>
  <c r="K36" i="4" s="1"/>
  <c r="M36" i="4"/>
  <c r="J36" i="4"/>
  <c r="E34" i="5"/>
  <c r="L32" i="5"/>
  <c r="M32" i="5"/>
  <c r="N32" i="5" s="1"/>
  <c r="H33" i="5"/>
  <c r="I33" i="5"/>
  <c r="J33" i="5"/>
  <c r="F33" i="5"/>
  <c r="G33" i="5"/>
  <c r="C36" i="4"/>
  <c r="F36" i="4"/>
  <c r="H37" i="4"/>
  <c r="B37" i="4"/>
  <c r="F213" i="4" l="1"/>
  <c r="C213" i="4"/>
  <c r="E213" i="4" s="1"/>
  <c r="D213" i="4" s="1"/>
  <c r="J213" i="4"/>
  <c r="M213" i="4"/>
  <c r="I213" i="4"/>
  <c r="K213" i="4" s="1"/>
  <c r="H214" i="4"/>
  <c r="A215" i="4"/>
  <c r="B214" i="4"/>
  <c r="E36" i="4"/>
  <c r="D36" i="4" s="1"/>
  <c r="I37" i="4"/>
  <c r="K37" i="4" s="1"/>
  <c r="M37" i="4"/>
  <c r="J37" i="4"/>
  <c r="E35" i="5"/>
  <c r="G34" i="5"/>
  <c r="H34" i="5"/>
  <c r="I34" i="5"/>
  <c r="J34" i="5"/>
  <c r="F34" i="5"/>
  <c r="M33" i="5"/>
  <c r="L33" i="5"/>
  <c r="H38" i="4"/>
  <c r="B38" i="4"/>
  <c r="F37" i="4"/>
  <c r="C37" i="4"/>
  <c r="C214" i="4" l="1"/>
  <c r="E214" i="4" s="1"/>
  <c r="D214" i="4" s="1"/>
  <c r="F214" i="4"/>
  <c r="A216" i="4"/>
  <c r="H215" i="4"/>
  <c r="B215" i="4"/>
  <c r="I214" i="4"/>
  <c r="K214" i="4" s="1"/>
  <c r="M214" i="4"/>
  <c r="J214" i="4"/>
  <c r="E37" i="4"/>
  <c r="D37" i="4" s="1"/>
  <c r="I38" i="4"/>
  <c r="K38" i="4" s="1"/>
  <c r="M38" i="4"/>
  <c r="J38" i="4"/>
  <c r="E36" i="5"/>
  <c r="J35" i="5"/>
  <c r="F35" i="5"/>
  <c r="G35" i="5"/>
  <c r="H35" i="5"/>
  <c r="I35" i="5"/>
  <c r="L34" i="5"/>
  <c r="M34" i="5"/>
  <c r="F38" i="4"/>
  <c r="C38" i="4"/>
  <c r="H39" i="4"/>
  <c r="B39" i="4"/>
  <c r="F215" i="4" l="1"/>
  <c r="C215" i="4"/>
  <c r="E215" i="4" s="1"/>
  <c r="D215" i="4" s="1"/>
  <c r="M215" i="4"/>
  <c r="I215" i="4"/>
  <c r="K215" i="4" s="1"/>
  <c r="J215" i="4"/>
  <c r="A217" i="4"/>
  <c r="H216" i="4"/>
  <c r="B216" i="4"/>
  <c r="E38" i="4"/>
  <c r="D38" i="4" s="1"/>
  <c r="I39" i="4"/>
  <c r="K39" i="4" s="1"/>
  <c r="M39" i="4"/>
  <c r="J39" i="4"/>
  <c r="E37" i="5"/>
  <c r="I36" i="5"/>
  <c r="J36" i="5"/>
  <c r="F36" i="5"/>
  <c r="G36" i="5"/>
  <c r="H36" i="5"/>
  <c r="L35" i="5"/>
  <c r="M35" i="5"/>
  <c r="C39" i="4"/>
  <c r="F39" i="4"/>
  <c r="H40" i="4"/>
  <c r="B40" i="4"/>
  <c r="J216" i="4" l="1"/>
  <c r="I216" i="4"/>
  <c r="K216" i="4" s="1"/>
  <c r="M216" i="4"/>
  <c r="H217" i="4"/>
  <c r="A218" i="4"/>
  <c r="B217" i="4"/>
  <c r="C216" i="4"/>
  <c r="E216" i="4" s="1"/>
  <c r="D216" i="4" s="1"/>
  <c r="F216" i="4"/>
  <c r="E39" i="4"/>
  <c r="D39" i="4" s="1"/>
  <c r="I40" i="4"/>
  <c r="K40" i="4" s="1"/>
  <c r="J40" i="4"/>
  <c r="M40" i="4"/>
  <c r="L36" i="5"/>
  <c r="M36" i="5"/>
  <c r="H37" i="5"/>
  <c r="I37" i="5"/>
  <c r="J37" i="5"/>
  <c r="F37" i="5"/>
  <c r="G37" i="5"/>
  <c r="E38" i="5"/>
  <c r="H41" i="4"/>
  <c r="B41" i="4"/>
  <c r="C40" i="4"/>
  <c r="F40" i="4"/>
  <c r="F217" i="4" l="1"/>
  <c r="C217" i="4"/>
  <c r="E217" i="4" s="1"/>
  <c r="D217" i="4" s="1"/>
  <c r="A219" i="4"/>
  <c r="H218" i="4"/>
  <c r="B218" i="4"/>
  <c r="I217" i="4"/>
  <c r="K217" i="4" s="1"/>
  <c r="M217" i="4"/>
  <c r="J217" i="4"/>
  <c r="E40" i="4"/>
  <c r="D40" i="4" s="1"/>
  <c r="I41" i="4"/>
  <c r="K41" i="4" s="1"/>
  <c r="J41" i="4"/>
  <c r="M41" i="4"/>
  <c r="J38" i="5"/>
  <c r="F38" i="5"/>
  <c r="G38" i="5"/>
  <c r="H38" i="5"/>
  <c r="I38" i="5"/>
  <c r="M37" i="5"/>
  <c r="N37" i="5" s="1"/>
  <c r="L37" i="5"/>
  <c r="E39" i="5"/>
  <c r="F41" i="4"/>
  <c r="C41" i="4"/>
  <c r="H42" i="4"/>
  <c r="B42" i="4"/>
  <c r="M218" i="4" l="1"/>
  <c r="J218" i="4"/>
  <c r="I218" i="4"/>
  <c r="K218" i="4" s="1"/>
  <c r="C218" i="4"/>
  <c r="E218" i="4" s="1"/>
  <c r="D218" i="4" s="1"/>
  <c r="F218" i="4"/>
  <c r="A220" i="4"/>
  <c r="H219" i="4"/>
  <c r="B219" i="4"/>
  <c r="E41" i="4"/>
  <c r="D41" i="4" s="1"/>
  <c r="I42" i="4"/>
  <c r="K42" i="4" s="1"/>
  <c r="J42" i="4"/>
  <c r="M42" i="4"/>
  <c r="I39" i="5"/>
  <c r="J39" i="5"/>
  <c r="F39" i="5"/>
  <c r="G39" i="5"/>
  <c r="H39" i="5"/>
  <c r="L38" i="5"/>
  <c r="M38" i="5"/>
  <c r="E40" i="5"/>
  <c r="F42" i="4"/>
  <c r="C42" i="4"/>
  <c r="H43" i="4"/>
  <c r="B43" i="4"/>
  <c r="F219" i="4" l="1"/>
  <c r="C219" i="4"/>
  <c r="E219" i="4" s="1"/>
  <c r="D219" i="4" s="1"/>
  <c r="A221" i="4"/>
  <c r="H220" i="4"/>
  <c r="B220" i="4"/>
  <c r="M219" i="4"/>
  <c r="J219" i="4"/>
  <c r="I219" i="4"/>
  <c r="K219" i="4" s="1"/>
  <c r="E42" i="4"/>
  <c r="D42" i="4" s="1"/>
  <c r="I43" i="4"/>
  <c r="K43" i="4" s="1"/>
  <c r="J43" i="4"/>
  <c r="M43" i="4"/>
  <c r="L39" i="5"/>
  <c r="M39" i="5"/>
  <c r="H40" i="5"/>
  <c r="I40" i="5"/>
  <c r="J40" i="5"/>
  <c r="F40" i="5"/>
  <c r="G40" i="5"/>
  <c r="E41" i="5"/>
  <c r="F43" i="4"/>
  <c r="C43" i="4"/>
  <c r="H44" i="4"/>
  <c r="B44" i="4"/>
  <c r="C220" i="4" l="1"/>
  <c r="E220" i="4" s="1"/>
  <c r="D220" i="4" s="1"/>
  <c r="F220" i="4"/>
  <c r="M220" i="4"/>
  <c r="J220" i="4"/>
  <c r="I220" i="4"/>
  <c r="K220" i="4" s="1"/>
  <c r="A222" i="4"/>
  <c r="H221" i="4"/>
  <c r="B221" i="4"/>
  <c r="E43" i="4"/>
  <c r="D43" i="4" s="1"/>
  <c r="I44" i="4"/>
  <c r="K44" i="4" s="1"/>
  <c r="J44" i="4"/>
  <c r="M44" i="4"/>
  <c r="G41" i="5"/>
  <c r="H41" i="5"/>
  <c r="I41" i="5"/>
  <c r="J41" i="5"/>
  <c r="F41" i="5"/>
  <c r="M40" i="5"/>
  <c r="L40" i="5"/>
  <c r="E42" i="5"/>
  <c r="H45" i="4"/>
  <c r="B45" i="4"/>
  <c r="C44" i="4"/>
  <c r="F44" i="4"/>
  <c r="F221" i="4" l="1"/>
  <c r="C221" i="4"/>
  <c r="E221" i="4" s="1"/>
  <c r="D221" i="4" s="1"/>
  <c r="A223" i="4"/>
  <c r="H222" i="4"/>
  <c r="B222" i="4"/>
  <c r="M221" i="4"/>
  <c r="J221" i="4"/>
  <c r="I221" i="4"/>
  <c r="K221" i="4" s="1"/>
  <c r="E44" i="4"/>
  <c r="D44" i="4" s="1"/>
  <c r="I45" i="4"/>
  <c r="K45" i="4" s="1"/>
  <c r="J45" i="4"/>
  <c r="M45" i="4"/>
  <c r="J42" i="5"/>
  <c r="F42" i="5"/>
  <c r="G42" i="5"/>
  <c r="H42" i="5"/>
  <c r="I42" i="5"/>
  <c r="L41" i="5"/>
  <c r="M41" i="5"/>
  <c r="E43" i="5"/>
  <c r="H46" i="4"/>
  <c r="B46" i="4"/>
  <c r="F45" i="4"/>
  <c r="C45" i="4"/>
  <c r="M222" i="4" l="1"/>
  <c r="J222" i="4"/>
  <c r="I222" i="4"/>
  <c r="K222" i="4" s="1"/>
  <c r="C222" i="4"/>
  <c r="E222" i="4" s="1"/>
  <c r="D222" i="4" s="1"/>
  <c r="F222" i="4"/>
  <c r="A224" i="4"/>
  <c r="H223" i="4"/>
  <c r="B223" i="4"/>
  <c r="E45" i="4"/>
  <c r="D45" i="4" s="1"/>
  <c r="I46" i="4"/>
  <c r="K46" i="4" s="1"/>
  <c r="J46" i="4"/>
  <c r="M46" i="4"/>
  <c r="H43" i="5"/>
  <c r="I43" i="5"/>
  <c r="J43" i="5"/>
  <c r="F43" i="5"/>
  <c r="G43" i="5"/>
  <c r="L42" i="5"/>
  <c r="M42" i="5"/>
  <c r="N42" i="5" s="1"/>
  <c r="E44" i="5"/>
  <c r="F46" i="4"/>
  <c r="C46" i="4"/>
  <c r="H47" i="4"/>
  <c r="B47" i="4"/>
  <c r="C223" i="4" l="1"/>
  <c r="E223" i="4" s="1"/>
  <c r="D223" i="4" s="1"/>
  <c r="F223" i="4"/>
  <c r="M223" i="4"/>
  <c r="J223" i="4"/>
  <c r="I223" i="4"/>
  <c r="K223" i="4" s="1"/>
  <c r="A225" i="4"/>
  <c r="H224" i="4"/>
  <c r="B224" i="4"/>
  <c r="E46" i="4"/>
  <c r="D46" i="4" s="1"/>
  <c r="I47" i="4"/>
  <c r="K47" i="4" s="1"/>
  <c r="J47" i="4"/>
  <c r="M47" i="4"/>
  <c r="G44" i="5"/>
  <c r="H44" i="5"/>
  <c r="I44" i="5"/>
  <c r="J44" i="5"/>
  <c r="F44" i="5"/>
  <c r="E45" i="5"/>
  <c r="M43" i="5"/>
  <c r="L43" i="5"/>
  <c r="C47" i="4"/>
  <c r="F47" i="4"/>
  <c r="H48" i="4"/>
  <c r="B48" i="4"/>
  <c r="F224" i="4" l="1"/>
  <c r="C224" i="4"/>
  <c r="E224" i="4" s="1"/>
  <c r="D224" i="4" s="1"/>
  <c r="I224" i="4"/>
  <c r="K224" i="4" s="1"/>
  <c r="M224" i="4"/>
  <c r="J224" i="4"/>
  <c r="A226" i="4"/>
  <c r="H225" i="4"/>
  <c r="B225" i="4"/>
  <c r="E47" i="4"/>
  <c r="D47" i="4" s="1"/>
  <c r="I48" i="4"/>
  <c r="K48" i="4" s="1"/>
  <c r="J48" i="4"/>
  <c r="M48" i="4"/>
  <c r="L44" i="5"/>
  <c r="M44" i="5"/>
  <c r="E46" i="5"/>
  <c r="J45" i="5"/>
  <c r="F45" i="5"/>
  <c r="G45" i="5"/>
  <c r="H45" i="5"/>
  <c r="I45" i="5"/>
  <c r="H49" i="4"/>
  <c r="B49" i="4"/>
  <c r="C48" i="4"/>
  <c r="F48" i="4"/>
  <c r="F225" i="4" l="1"/>
  <c r="C225" i="4"/>
  <c r="E225" i="4" s="1"/>
  <c r="D225" i="4" s="1"/>
  <c r="A227" i="4"/>
  <c r="H226" i="4"/>
  <c r="B226" i="4"/>
  <c r="J225" i="4"/>
  <c r="M225" i="4"/>
  <c r="I225" i="4"/>
  <c r="K225" i="4" s="1"/>
  <c r="E48" i="4"/>
  <c r="D48" i="4" s="1"/>
  <c r="I49" i="4"/>
  <c r="K49" i="4" s="1"/>
  <c r="M49" i="4"/>
  <c r="J49" i="4"/>
  <c r="L45" i="5"/>
  <c r="M45" i="5"/>
  <c r="E47" i="5"/>
  <c r="I46" i="5"/>
  <c r="J46" i="5"/>
  <c r="F46" i="5"/>
  <c r="G46" i="5"/>
  <c r="H46" i="5"/>
  <c r="F49" i="4"/>
  <c r="C49" i="4"/>
  <c r="H50" i="4"/>
  <c r="B50" i="4"/>
  <c r="F226" i="4" l="1"/>
  <c r="C226" i="4"/>
  <c r="E226" i="4" s="1"/>
  <c r="D226" i="4" s="1"/>
  <c r="I226" i="4"/>
  <c r="K226" i="4" s="1"/>
  <c r="M226" i="4"/>
  <c r="J226" i="4"/>
  <c r="H227" i="4"/>
  <c r="A228" i="4"/>
  <c r="B227" i="4"/>
  <c r="E49" i="4"/>
  <c r="D49" i="4" s="1"/>
  <c r="I50" i="4"/>
  <c r="K50" i="4" s="1"/>
  <c r="M50" i="4"/>
  <c r="J50" i="4"/>
  <c r="L46" i="5"/>
  <c r="M46" i="5"/>
  <c r="H47" i="5"/>
  <c r="I47" i="5"/>
  <c r="J47" i="5"/>
  <c r="F47" i="5"/>
  <c r="G47" i="5"/>
  <c r="E48" i="5"/>
  <c r="H51" i="4"/>
  <c r="B51" i="4"/>
  <c r="F50" i="4"/>
  <c r="C50" i="4"/>
  <c r="F227" i="4" l="1"/>
  <c r="C227" i="4"/>
  <c r="E227" i="4" s="1"/>
  <c r="D227" i="4" s="1"/>
  <c r="H228" i="4"/>
  <c r="A229" i="4"/>
  <c r="B228" i="4"/>
  <c r="I227" i="4"/>
  <c r="K227" i="4" s="1"/>
  <c r="J227" i="4"/>
  <c r="M227" i="4"/>
  <c r="E50" i="4"/>
  <c r="D50" i="4" s="1"/>
  <c r="I51" i="4"/>
  <c r="K51" i="4" s="1"/>
  <c r="M51" i="4"/>
  <c r="J51" i="4"/>
  <c r="J48" i="5"/>
  <c r="F48" i="5"/>
  <c r="G48" i="5"/>
  <c r="H48" i="5"/>
  <c r="I48" i="5"/>
  <c r="M47" i="5"/>
  <c r="N47" i="5" s="1"/>
  <c r="L47" i="5"/>
  <c r="E49" i="5"/>
  <c r="H52" i="4"/>
  <c r="B52" i="4"/>
  <c r="F51" i="4"/>
  <c r="C51" i="4"/>
  <c r="F228" i="4" l="1"/>
  <c r="C228" i="4"/>
  <c r="E228" i="4" s="1"/>
  <c r="D228" i="4" s="1"/>
  <c r="H229" i="4"/>
  <c r="A230" i="4"/>
  <c r="B229" i="4"/>
  <c r="J228" i="4"/>
  <c r="I228" i="4"/>
  <c r="K228" i="4" s="1"/>
  <c r="M228" i="4"/>
  <c r="E51" i="4"/>
  <c r="D51" i="4" s="1"/>
  <c r="I52" i="4"/>
  <c r="K52" i="4" s="1"/>
  <c r="J52" i="4"/>
  <c r="M52" i="4"/>
  <c r="I49" i="5"/>
  <c r="J49" i="5"/>
  <c r="F49" i="5"/>
  <c r="G49" i="5"/>
  <c r="H49" i="5"/>
  <c r="L48" i="5"/>
  <c r="M48" i="5"/>
  <c r="E50" i="5"/>
  <c r="C52" i="4"/>
  <c r="F52" i="4"/>
  <c r="H53" i="4"/>
  <c r="B53" i="4"/>
  <c r="C229" i="4" l="1"/>
  <c r="E229" i="4" s="1"/>
  <c r="D229" i="4" s="1"/>
  <c r="F229" i="4"/>
  <c r="A231" i="4"/>
  <c r="H230" i="4"/>
  <c r="B230" i="4"/>
  <c r="M229" i="4"/>
  <c r="J229" i="4"/>
  <c r="I229" i="4"/>
  <c r="K229" i="4" s="1"/>
  <c r="E52" i="4"/>
  <c r="D52" i="4" s="1"/>
  <c r="I53" i="4"/>
  <c r="K53" i="4" s="1"/>
  <c r="J53" i="4"/>
  <c r="M53" i="4"/>
  <c r="H50" i="5"/>
  <c r="I50" i="5"/>
  <c r="J50" i="5"/>
  <c r="F50" i="5"/>
  <c r="G50" i="5"/>
  <c r="L49" i="5"/>
  <c r="M49" i="5"/>
  <c r="E51" i="5"/>
  <c r="F53" i="4"/>
  <c r="C53" i="4"/>
  <c r="H54" i="4"/>
  <c r="B54" i="4"/>
  <c r="F230" i="4" l="1"/>
  <c r="C230" i="4"/>
  <c r="E230" i="4" s="1"/>
  <c r="D230" i="4" s="1"/>
  <c r="M230" i="4"/>
  <c r="J230" i="4"/>
  <c r="I230" i="4"/>
  <c r="K230" i="4" s="1"/>
  <c r="A232" i="4"/>
  <c r="H231" i="4"/>
  <c r="B231" i="4"/>
  <c r="E53" i="4"/>
  <c r="D53" i="4" s="1"/>
  <c r="I54" i="4"/>
  <c r="K54" i="4" s="1"/>
  <c r="J54" i="4"/>
  <c r="M54" i="4"/>
  <c r="G51" i="5"/>
  <c r="H51" i="5"/>
  <c r="I51" i="5"/>
  <c r="J51" i="5"/>
  <c r="F51" i="5"/>
  <c r="E52" i="5"/>
  <c r="M50" i="5"/>
  <c r="L50" i="5"/>
  <c r="F54" i="4"/>
  <c r="C54" i="4"/>
  <c r="H55" i="4"/>
  <c r="B55" i="4"/>
  <c r="M231" i="4" l="1"/>
  <c r="I231" i="4"/>
  <c r="K231" i="4" s="1"/>
  <c r="J231" i="4"/>
  <c r="C231" i="4"/>
  <c r="E231" i="4" s="1"/>
  <c r="D231" i="4" s="1"/>
  <c r="F231" i="4"/>
  <c r="H232" i="4"/>
  <c r="A233" i="4"/>
  <c r="B232" i="4"/>
  <c r="E54" i="4"/>
  <c r="D54" i="4" s="1"/>
  <c r="I55" i="4"/>
  <c r="K55" i="4" s="1"/>
  <c r="J55" i="4"/>
  <c r="M55" i="4"/>
  <c r="L51" i="5"/>
  <c r="M51" i="5"/>
  <c r="E53" i="5"/>
  <c r="J52" i="5"/>
  <c r="F52" i="5"/>
  <c r="G52" i="5"/>
  <c r="H52" i="5"/>
  <c r="I52" i="5"/>
  <c r="F55" i="4"/>
  <c r="C55" i="4"/>
  <c r="H56" i="4"/>
  <c r="B56" i="4"/>
  <c r="F232" i="4" l="1"/>
  <c r="C232" i="4"/>
  <c r="E232" i="4" s="1"/>
  <c r="D232" i="4" s="1"/>
  <c r="A234" i="4"/>
  <c r="H233" i="4"/>
  <c r="B233" i="4"/>
  <c r="J232" i="4"/>
  <c r="I232" i="4"/>
  <c r="K232" i="4" s="1"/>
  <c r="M232" i="4"/>
  <c r="E55" i="4"/>
  <c r="D55" i="4" s="1"/>
  <c r="I56" i="4"/>
  <c r="K56" i="4" s="1"/>
  <c r="J56" i="4"/>
  <c r="M56" i="4"/>
  <c r="L52" i="5"/>
  <c r="M52" i="5"/>
  <c r="N52" i="5" s="1"/>
  <c r="E54" i="5"/>
  <c r="H53" i="5"/>
  <c r="I53" i="5"/>
  <c r="J53" i="5"/>
  <c r="F53" i="5"/>
  <c r="G53" i="5"/>
  <c r="C56" i="4"/>
  <c r="F56" i="4"/>
  <c r="H57" i="4"/>
  <c r="B57" i="4"/>
  <c r="M233" i="4" l="1"/>
  <c r="J233" i="4"/>
  <c r="I233" i="4"/>
  <c r="K233" i="4" s="1"/>
  <c r="F233" i="4"/>
  <c r="C233" i="4"/>
  <c r="E233" i="4" s="1"/>
  <c r="D233" i="4" s="1"/>
  <c r="A235" i="4"/>
  <c r="H234" i="4"/>
  <c r="B234" i="4"/>
  <c r="E56" i="4"/>
  <c r="D56" i="4" s="1"/>
  <c r="I57" i="4"/>
  <c r="K57" i="4" s="1"/>
  <c r="J57" i="4"/>
  <c r="M57" i="4"/>
  <c r="E55" i="5"/>
  <c r="M53" i="5"/>
  <c r="L53" i="5"/>
  <c r="G54" i="5"/>
  <c r="H54" i="5"/>
  <c r="I54" i="5"/>
  <c r="J54" i="5"/>
  <c r="F54" i="5"/>
  <c r="H58" i="4"/>
  <c r="B58" i="4"/>
  <c r="F57" i="4"/>
  <c r="C57" i="4"/>
  <c r="C234" i="4" l="1"/>
  <c r="E234" i="4" s="1"/>
  <c r="D234" i="4" s="1"/>
  <c r="F234" i="4"/>
  <c r="A236" i="4"/>
  <c r="H235" i="4"/>
  <c r="B235" i="4"/>
  <c r="M234" i="4"/>
  <c r="J234" i="4"/>
  <c r="I234" i="4"/>
  <c r="K234" i="4" s="1"/>
  <c r="E57" i="4"/>
  <c r="D57" i="4" s="1"/>
  <c r="I58" i="4"/>
  <c r="K58" i="4" s="1"/>
  <c r="M58" i="4"/>
  <c r="J58" i="4"/>
  <c r="L54" i="5"/>
  <c r="M54" i="5"/>
  <c r="E56" i="5"/>
  <c r="J55" i="5"/>
  <c r="F55" i="5"/>
  <c r="G55" i="5"/>
  <c r="H55" i="5"/>
  <c r="I55" i="5"/>
  <c r="H59" i="4"/>
  <c r="B59" i="4"/>
  <c r="F58" i="4"/>
  <c r="C58" i="4"/>
  <c r="C235" i="4" l="1"/>
  <c r="E235" i="4" s="1"/>
  <c r="D235" i="4" s="1"/>
  <c r="F235" i="4"/>
  <c r="M235" i="4"/>
  <c r="I235" i="4"/>
  <c r="K235" i="4" s="1"/>
  <c r="J235" i="4"/>
  <c r="A237" i="4"/>
  <c r="H236" i="4"/>
  <c r="B236" i="4"/>
  <c r="E58" i="4"/>
  <c r="D58" i="4" s="1"/>
  <c r="I59" i="4"/>
  <c r="K59" i="4" s="1"/>
  <c r="J59" i="4"/>
  <c r="M59" i="4"/>
  <c r="L55" i="5"/>
  <c r="M55" i="5"/>
  <c r="E57" i="5"/>
  <c r="I56" i="5"/>
  <c r="J56" i="5"/>
  <c r="F56" i="5"/>
  <c r="G56" i="5"/>
  <c r="H56" i="5"/>
  <c r="H60" i="4"/>
  <c r="B60" i="4"/>
  <c r="F59" i="4"/>
  <c r="C59" i="4"/>
  <c r="M236" i="4" l="1"/>
  <c r="I236" i="4"/>
  <c r="K236" i="4" s="1"/>
  <c r="J236" i="4"/>
  <c r="F236" i="4"/>
  <c r="C236" i="4"/>
  <c r="E236" i="4" s="1"/>
  <c r="D236" i="4" s="1"/>
  <c r="H237" i="4"/>
  <c r="A238" i="4"/>
  <c r="B237" i="4"/>
  <c r="E59" i="4"/>
  <c r="D59" i="4" s="1"/>
  <c r="I60" i="4"/>
  <c r="K60" i="4" s="1"/>
  <c r="M60" i="4"/>
  <c r="J60" i="4"/>
  <c r="L56" i="5"/>
  <c r="M56" i="5"/>
  <c r="H57" i="5"/>
  <c r="I57" i="5"/>
  <c r="J57" i="5"/>
  <c r="F57" i="5"/>
  <c r="G57" i="5"/>
  <c r="E58" i="5"/>
  <c r="H61" i="4"/>
  <c r="B61" i="4"/>
  <c r="C60" i="4"/>
  <c r="F60" i="4"/>
  <c r="F237" i="4" l="1"/>
  <c r="C237" i="4"/>
  <c r="E237" i="4" s="1"/>
  <c r="D237" i="4" s="1"/>
  <c r="A239" i="4"/>
  <c r="H238" i="4"/>
  <c r="B238" i="4"/>
  <c r="M237" i="4"/>
  <c r="J237" i="4"/>
  <c r="I237" i="4"/>
  <c r="K237" i="4" s="1"/>
  <c r="E60" i="4"/>
  <c r="D60" i="4" s="1"/>
  <c r="I61" i="4"/>
  <c r="K61" i="4" s="1"/>
  <c r="M61" i="4"/>
  <c r="J61" i="4"/>
  <c r="J58" i="5"/>
  <c r="F58" i="5"/>
  <c r="G58" i="5"/>
  <c r="H58" i="5"/>
  <c r="I58" i="5"/>
  <c r="M57" i="5"/>
  <c r="N57" i="5" s="1"/>
  <c r="L57" i="5"/>
  <c r="E59" i="5"/>
  <c r="F61" i="4"/>
  <c r="C61" i="4"/>
  <c r="F238" i="4" l="1"/>
  <c r="C238" i="4"/>
  <c r="E238" i="4" s="1"/>
  <c r="D238" i="4" s="1"/>
  <c r="I238" i="4"/>
  <c r="K238" i="4" s="1"/>
  <c r="M238" i="4"/>
  <c r="J238" i="4"/>
  <c r="A240" i="4"/>
  <c r="H239" i="4"/>
  <c r="B239" i="4"/>
  <c r="E61" i="4"/>
  <c r="D61" i="4" s="1"/>
  <c r="G59" i="5"/>
  <c r="I59" i="5"/>
  <c r="F59" i="5"/>
  <c r="H59" i="5"/>
  <c r="J59" i="5"/>
  <c r="L58" i="5"/>
  <c r="M58" i="5"/>
  <c r="E60" i="5"/>
  <c r="F239" i="4" l="1"/>
  <c r="C239" i="4"/>
  <c r="E239" i="4" s="1"/>
  <c r="D239" i="4" s="1"/>
  <c r="J239" i="4"/>
  <c r="M239" i="4"/>
  <c r="I239" i="4"/>
  <c r="K239" i="4" s="1"/>
  <c r="H240" i="4"/>
  <c r="A241" i="4"/>
  <c r="B240" i="4"/>
  <c r="J60" i="5"/>
  <c r="F60" i="5"/>
  <c r="G60" i="5"/>
  <c r="H60" i="5"/>
  <c r="I60" i="5"/>
  <c r="L59" i="5"/>
  <c r="M59" i="5"/>
  <c r="E61" i="5"/>
  <c r="C240" i="4" l="1"/>
  <c r="E240" i="4" s="1"/>
  <c r="D240" i="4" s="1"/>
  <c r="F240" i="4"/>
  <c r="H241" i="4"/>
  <c r="A242" i="4"/>
  <c r="B241" i="4"/>
  <c r="J240" i="4"/>
  <c r="I240" i="4"/>
  <c r="K240" i="4" s="1"/>
  <c r="M240" i="4"/>
  <c r="I61" i="5"/>
  <c r="J61" i="5"/>
  <c r="F61" i="5"/>
  <c r="G61" i="5"/>
  <c r="H61" i="5"/>
  <c r="L60" i="5"/>
  <c r="M60" i="5"/>
  <c r="E62" i="5"/>
  <c r="C241" i="4" l="1"/>
  <c r="E241" i="4" s="1"/>
  <c r="D241" i="4" s="1"/>
  <c r="F241" i="4"/>
  <c r="A243" i="4"/>
  <c r="H242" i="4"/>
  <c r="B242" i="4"/>
  <c r="J241" i="4"/>
  <c r="I241" i="4"/>
  <c r="K241" i="4" s="1"/>
  <c r="M241" i="4"/>
  <c r="E63" i="5"/>
  <c r="L61" i="5"/>
  <c r="M61" i="5"/>
  <c r="H62" i="5"/>
  <c r="I62" i="5"/>
  <c r="J62" i="5"/>
  <c r="F62" i="5"/>
  <c r="G62" i="5"/>
  <c r="F242" i="4" l="1"/>
  <c r="C242" i="4"/>
  <c r="E242" i="4" s="1"/>
  <c r="D242" i="4" s="1"/>
  <c r="I242" i="4"/>
  <c r="K242" i="4" s="1"/>
  <c r="J242" i="4"/>
  <c r="M242" i="4"/>
  <c r="H243" i="4"/>
  <c r="A244" i="4"/>
  <c r="B243" i="4"/>
  <c r="E64" i="5"/>
  <c r="J63" i="5"/>
  <c r="F63" i="5"/>
  <c r="G63" i="5"/>
  <c r="H63" i="5"/>
  <c r="I63" i="5"/>
  <c r="M62" i="5"/>
  <c r="N62" i="5" s="1"/>
  <c r="L62" i="5"/>
  <c r="F243" i="4" l="1"/>
  <c r="C243" i="4"/>
  <c r="E243" i="4" s="1"/>
  <c r="D243" i="4" s="1"/>
  <c r="H244" i="4"/>
  <c r="A245" i="4"/>
  <c r="B244" i="4"/>
  <c r="J243" i="4"/>
  <c r="I243" i="4"/>
  <c r="K243" i="4" s="1"/>
  <c r="M243" i="4"/>
  <c r="E65" i="5"/>
  <c r="I64" i="5"/>
  <c r="J64" i="5"/>
  <c r="F64" i="5"/>
  <c r="G64" i="5"/>
  <c r="H64" i="5"/>
  <c r="L63" i="5"/>
  <c r="M63" i="5"/>
  <c r="H245" i="4" l="1"/>
  <c r="A246" i="4"/>
  <c r="B245" i="4"/>
  <c r="F244" i="4"/>
  <c r="C244" i="4"/>
  <c r="E244" i="4" s="1"/>
  <c r="D244" i="4" s="1"/>
  <c r="J244" i="4"/>
  <c r="I244" i="4"/>
  <c r="K244" i="4" s="1"/>
  <c r="M244" i="4"/>
  <c r="L64" i="5"/>
  <c r="M64" i="5"/>
  <c r="E66" i="5"/>
  <c r="H65" i="5"/>
  <c r="I65" i="5"/>
  <c r="J65" i="5"/>
  <c r="F65" i="5"/>
  <c r="G65" i="5"/>
  <c r="C245" i="4" l="1"/>
  <c r="E245" i="4" s="1"/>
  <c r="D245" i="4" s="1"/>
  <c r="F245" i="4"/>
  <c r="A247" i="4"/>
  <c r="H246" i="4"/>
  <c r="B246" i="4"/>
  <c r="M245" i="4"/>
  <c r="J245" i="4"/>
  <c r="I245" i="4"/>
  <c r="K245" i="4" s="1"/>
  <c r="E67" i="5"/>
  <c r="M65" i="5"/>
  <c r="L65" i="5"/>
  <c r="G66" i="5"/>
  <c r="H66" i="5"/>
  <c r="I66" i="5"/>
  <c r="J66" i="5"/>
  <c r="F66" i="5"/>
  <c r="F246" i="4" l="1"/>
  <c r="C246" i="4"/>
  <c r="E246" i="4" s="1"/>
  <c r="D246" i="4" s="1"/>
  <c r="I246" i="4"/>
  <c r="K246" i="4" s="1"/>
  <c r="M246" i="4"/>
  <c r="J246" i="4"/>
  <c r="A248" i="4"/>
  <c r="H247" i="4"/>
  <c r="B247" i="4"/>
  <c r="L66" i="5"/>
  <c r="M66" i="5"/>
  <c r="E68" i="5"/>
  <c r="J67" i="5"/>
  <c r="F67" i="5"/>
  <c r="G67" i="5"/>
  <c r="H67" i="5"/>
  <c r="I67" i="5"/>
  <c r="C247" i="4" l="1"/>
  <c r="E247" i="4" s="1"/>
  <c r="D247" i="4" s="1"/>
  <c r="F247" i="4"/>
  <c r="M247" i="4"/>
  <c r="J247" i="4"/>
  <c r="I247" i="4"/>
  <c r="K247" i="4" s="1"/>
  <c r="A249" i="4"/>
  <c r="H248" i="4"/>
  <c r="B248" i="4"/>
  <c r="L67" i="5"/>
  <c r="M67" i="5"/>
  <c r="N67" i="5" s="1"/>
  <c r="E69" i="5"/>
  <c r="H68" i="5"/>
  <c r="I68" i="5"/>
  <c r="J68" i="5"/>
  <c r="F68" i="5"/>
  <c r="G68" i="5"/>
  <c r="F248" i="4" l="1"/>
  <c r="C248" i="4"/>
  <c r="E248" i="4" s="1"/>
  <c r="D248" i="4" s="1"/>
  <c r="M248" i="4"/>
  <c r="J248" i="4"/>
  <c r="I248" i="4"/>
  <c r="K248" i="4" s="1"/>
  <c r="A250" i="4"/>
  <c r="H249" i="4"/>
  <c r="B249" i="4"/>
  <c r="E70" i="5"/>
  <c r="M68" i="5"/>
  <c r="L68" i="5"/>
  <c r="G69" i="5"/>
  <c r="H69" i="5"/>
  <c r="I69" i="5"/>
  <c r="J69" i="5"/>
  <c r="F69" i="5"/>
  <c r="F249" i="4" l="1"/>
  <c r="C249" i="4"/>
  <c r="E249" i="4" s="1"/>
  <c r="D249" i="4" s="1"/>
  <c r="M249" i="4"/>
  <c r="J249" i="4"/>
  <c r="I249" i="4"/>
  <c r="K249" i="4" s="1"/>
  <c r="A251" i="4"/>
  <c r="H250" i="4"/>
  <c r="B250" i="4"/>
  <c r="E71" i="5"/>
  <c r="L69" i="5"/>
  <c r="M69" i="5"/>
  <c r="J70" i="5"/>
  <c r="F70" i="5"/>
  <c r="G70" i="5"/>
  <c r="H70" i="5"/>
  <c r="I70" i="5"/>
  <c r="F250" i="4" l="1"/>
  <c r="C250" i="4"/>
  <c r="E250" i="4" s="1"/>
  <c r="D250" i="4" s="1"/>
  <c r="M250" i="4"/>
  <c r="J250" i="4"/>
  <c r="I250" i="4"/>
  <c r="K250" i="4" s="1"/>
  <c r="H251" i="4"/>
  <c r="A252" i="4"/>
  <c r="B251" i="4"/>
  <c r="E72" i="5"/>
  <c r="L70" i="5"/>
  <c r="M70" i="5"/>
  <c r="I71" i="5"/>
  <c r="J71" i="5"/>
  <c r="F71" i="5"/>
  <c r="G71" i="5"/>
  <c r="H71" i="5"/>
  <c r="I251" i="4" l="1"/>
  <c r="K251" i="4" s="1"/>
  <c r="M251" i="4"/>
  <c r="J251" i="4"/>
  <c r="C251" i="4"/>
  <c r="E251" i="4" s="1"/>
  <c r="D251" i="4" s="1"/>
  <c r="F251" i="4"/>
  <c r="H252" i="4"/>
  <c r="A253" i="4"/>
  <c r="B252" i="4"/>
  <c r="H72" i="5"/>
  <c r="I72" i="5"/>
  <c r="J72" i="5"/>
  <c r="F72" i="5"/>
  <c r="G72" i="5"/>
  <c r="E73" i="5"/>
  <c r="L71" i="5"/>
  <c r="M71" i="5"/>
  <c r="F252" i="4" l="1"/>
  <c r="C252" i="4"/>
  <c r="E252" i="4" s="1"/>
  <c r="D252" i="4" s="1"/>
  <c r="H253" i="4"/>
  <c r="A254" i="4"/>
  <c r="B253" i="4"/>
  <c r="I252" i="4"/>
  <c r="K252" i="4" s="1"/>
  <c r="J252" i="4"/>
  <c r="M252" i="4"/>
  <c r="J73" i="5"/>
  <c r="F73" i="5"/>
  <c r="G73" i="5"/>
  <c r="H73" i="5"/>
  <c r="I73" i="5"/>
  <c r="E74" i="5"/>
  <c r="M72" i="5"/>
  <c r="N72" i="5" s="1"/>
  <c r="L72" i="5"/>
  <c r="A255" i="4" l="1"/>
  <c r="H254" i="4"/>
  <c r="B254" i="4"/>
  <c r="F253" i="4"/>
  <c r="C253" i="4"/>
  <c r="E253" i="4" s="1"/>
  <c r="D253" i="4" s="1"/>
  <c r="J253" i="4"/>
  <c r="I253" i="4"/>
  <c r="K253" i="4" s="1"/>
  <c r="M253" i="4"/>
  <c r="E75" i="5"/>
  <c r="L73" i="5"/>
  <c r="M73" i="5"/>
  <c r="I74" i="5"/>
  <c r="J74" i="5"/>
  <c r="F74" i="5"/>
  <c r="G74" i="5"/>
  <c r="H74" i="5"/>
  <c r="F254" i="4" l="1"/>
  <c r="C254" i="4"/>
  <c r="E254" i="4" s="1"/>
  <c r="D254" i="4" s="1"/>
  <c r="J254" i="4"/>
  <c r="I254" i="4"/>
  <c r="K254" i="4" s="1"/>
  <c r="M254" i="4"/>
  <c r="A256" i="4"/>
  <c r="H255" i="4"/>
  <c r="B255" i="4"/>
  <c r="H75" i="5"/>
  <c r="I75" i="5"/>
  <c r="J75" i="5"/>
  <c r="F75" i="5"/>
  <c r="G75" i="5"/>
  <c r="L74" i="5"/>
  <c r="M74" i="5"/>
  <c r="E76" i="5"/>
  <c r="C255" i="4" l="1"/>
  <c r="E255" i="4" s="1"/>
  <c r="D255" i="4" s="1"/>
  <c r="F255" i="4"/>
  <c r="I255" i="4"/>
  <c r="K255" i="4" s="1"/>
  <c r="J255" i="4"/>
  <c r="M255" i="4"/>
  <c r="A257" i="4"/>
  <c r="H256" i="4"/>
  <c r="B256" i="4"/>
  <c r="G76" i="5"/>
  <c r="H76" i="5"/>
  <c r="I76" i="5"/>
  <c r="J76" i="5"/>
  <c r="F76" i="5"/>
  <c r="E77" i="5"/>
  <c r="M75" i="5"/>
  <c r="L75" i="5"/>
  <c r="C256" i="4" l="1"/>
  <c r="E256" i="4" s="1"/>
  <c r="D256" i="4" s="1"/>
  <c r="F256" i="4"/>
  <c r="I256" i="4"/>
  <c r="K256" i="4" s="1"/>
  <c r="J256" i="4"/>
  <c r="M256" i="4"/>
  <c r="A258" i="4"/>
  <c r="H257" i="4"/>
  <c r="B257" i="4"/>
  <c r="L76" i="5"/>
  <c r="M76" i="5"/>
  <c r="J77" i="5"/>
  <c r="F77" i="5"/>
  <c r="G77" i="5"/>
  <c r="H77" i="5"/>
  <c r="I77" i="5"/>
  <c r="E78" i="5"/>
  <c r="M257" i="4" l="1"/>
  <c r="J257" i="4"/>
  <c r="I257" i="4"/>
  <c r="K257" i="4" s="1"/>
  <c r="F257" i="4"/>
  <c r="C257" i="4"/>
  <c r="E257" i="4" s="1"/>
  <c r="D257" i="4" s="1"/>
  <c r="H258" i="4"/>
  <c r="A259" i="4"/>
  <c r="B258" i="4"/>
  <c r="H78" i="5"/>
  <c r="I78" i="5"/>
  <c r="J78" i="5"/>
  <c r="F78" i="5"/>
  <c r="G78" i="5"/>
  <c r="E79" i="5"/>
  <c r="L77" i="5"/>
  <c r="M77" i="5"/>
  <c r="N77" i="5" s="1"/>
  <c r="F258" i="4" l="1"/>
  <c r="C258" i="4"/>
  <c r="E258" i="4" s="1"/>
  <c r="D258" i="4" s="1"/>
  <c r="H259" i="4"/>
  <c r="A260" i="4"/>
  <c r="B259" i="4"/>
  <c r="I258" i="4"/>
  <c r="K258" i="4" s="1"/>
  <c r="J258" i="4"/>
  <c r="M258" i="4"/>
  <c r="E80" i="5"/>
  <c r="G79" i="5"/>
  <c r="H79" i="5"/>
  <c r="I79" i="5"/>
  <c r="J79" i="5"/>
  <c r="F79" i="5"/>
  <c r="M78" i="5"/>
  <c r="L78" i="5"/>
  <c r="F259" i="4" l="1"/>
  <c r="C259" i="4"/>
  <c r="E259" i="4" s="1"/>
  <c r="D259" i="4" s="1"/>
  <c r="H260" i="4"/>
  <c r="A261" i="4"/>
  <c r="B260" i="4"/>
  <c r="J259" i="4"/>
  <c r="I259" i="4"/>
  <c r="K259" i="4" s="1"/>
  <c r="M259" i="4"/>
  <c r="L79" i="5"/>
  <c r="M79" i="5"/>
  <c r="E81" i="5"/>
  <c r="J80" i="5"/>
  <c r="F80" i="5"/>
  <c r="G80" i="5"/>
  <c r="H80" i="5"/>
  <c r="I80" i="5"/>
  <c r="F260" i="4" l="1"/>
  <c r="C260" i="4"/>
  <c r="E260" i="4" s="1"/>
  <c r="D260" i="4" s="1"/>
  <c r="H261" i="4"/>
  <c r="A262" i="4"/>
  <c r="B261" i="4"/>
  <c r="J260" i="4"/>
  <c r="I260" i="4"/>
  <c r="K260" i="4" s="1"/>
  <c r="M260" i="4"/>
  <c r="L80" i="5"/>
  <c r="M80" i="5"/>
  <c r="E82" i="5"/>
  <c r="I81" i="5"/>
  <c r="J81" i="5"/>
  <c r="F81" i="5"/>
  <c r="G81" i="5"/>
  <c r="H81" i="5"/>
  <c r="C261" i="4" l="1"/>
  <c r="E261" i="4" s="1"/>
  <c r="D261" i="4" s="1"/>
  <c r="F261" i="4"/>
  <c r="A263" i="4"/>
  <c r="H262" i="4"/>
  <c r="B262" i="4"/>
  <c r="M261" i="4"/>
  <c r="J261" i="4"/>
  <c r="I261" i="4"/>
  <c r="K261" i="4" s="1"/>
  <c r="L81" i="5"/>
  <c r="M81" i="5"/>
  <c r="H82" i="5"/>
  <c r="I82" i="5"/>
  <c r="J82" i="5"/>
  <c r="F82" i="5"/>
  <c r="G82" i="5"/>
  <c r="E83" i="5"/>
  <c r="C262" i="4" l="1"/>
  <c r="E262" i="4" s="1"/>
  <c r="D262" i="4" s="1"/>
  <c r="F262" i="4"/>
  <c r="M262" i="4"/>
  <c r="I262" i="4"/>
  <c r="K262" i="4" s="1"/>
  <c r="J262" i="4"/>
  <c r="A264" i="4"/>
  <c r="H263" i="4"/>
  <c r="B263" i="4"/>
  <c r="J83" i="5"/>
  <c r="F83" i="5"/>
  <c r="G83" i="5"/>
  <c r="H83" i="5"/>
  <c r="I83" i="5"/>
  <c r="M82" i="5"/>
  <c r="N82" i="5" s="1"/>
  <c r="L82" i="5"/>
  <c r="E84" i="5"/>
  <c r="M263" i="4" l="1"/>
  <c r="J263" i="4"/>
  <c r="I263" i="4"/>
  <c r="K263" i="4" s="1"/>
  <c r="C263" i="4"/>
  <c r="E263" i="4" s="1"/>
  <c r="D263" i="4" s="1"/>
  <c r="F263" i="4"/>
  <c r="A265" i="4"/>
  <c r="H264" i="4"/>
  <c r="B264" i="4"/>
  <c r="I84" i="5"/>
  <c r="J84" i="5"/>
  <c r="F84" i="5"/>
  <c r="G84" i="5"/>
  <c r="H84" i="5"/>
  <c r="L83" i="5"/>
  <c r="M83" i="5"/>
  <c r="E85" i="5"/>
  <c r="F264" i="4" l="1"/>
  <c r="C264" i="4"/>
  <c r="E264" i="4" s="1"/>
  <c r="D264" i="4" s="1"/>
  <c r="M264" i="4"/>
  <c r="J264" i="4"/>
  <c r="I264" i="4"/>
  <c r="K264" i="4" s="1"/>
  <c r="A266" i="4"/>
  <c r="H265" i="4"/>
  <c r="B265" i="4"/>
  <c r="H85" i="5"/>
  <c r="I85" i="5"/>
  <c r="J85" i="5"/>
  <c r="F85" i="5"/>
  <c r="G85" i="5"/>
  <c r="L84" i="5"/>
  <c r="M84" i="5"/>
  <c r="E86" i="5"/>
  <c r="A267" i="4" l="1"/>
  <c r="H266" i="4"/>
  <c r="B266" i="4"/>
  <c r="C265" i="4"/>
  <c r="E265" i="4" s="1"/>
  <c r="D265" i="4" s="1"/>
  <c r="F265" i="4"/>
  <c r="M265" i="4"/>
  <c r="J265" i="4"/>
  <c r="I265" i="4"/>
  <c r="K265" i="4" s="1"/>
  <c r="G86" i="5"/>
  <c r="H86" i="5"/>
  <c r="I86" i="5"/>
  <c r="J86" i="5"/>
  <c r="F86" i="5"/>
  <c r="E87" i="5"/>
  <c r="M85" i="5"/>
  <c r="L85" i="5"/>
  <c r="F266" i="4" l="1"/>
  <c r="C266" i="4"/>
  <c r="E266" i="4" s="1"/>
  <c r="D266" i="4" s="1"/>
  <c r="M266" i="4"/>
  <c r="J266" i="4"/>
  <c r="I266" i="4"/>
  <c r="K266" i="4" s="1"/>
  <c r="A268" i="4"/>
  <c r="H267" i="4"/>
  <c r="B267" i="4"/>
  <c r="L86" i="5"/>
  <c r="M86" i="5"/>
  <c r="E88" i="5"/>
  <c r="J87" i="5"/>
  <c r="F87" i="5"/>
  <c r="G87" i="5"/>
  <c r="H87" i="5"/>
  <c r="I87" i="5"/>
  <c r="A269" i="4" l="1"/>
  <c r="H268" i="4"/>
  <c r="B268" i="4"/>
  <c r="F267" i="4"/>
  <c r="C267" i="4"/>
  <c r="E267" i="4" s="1"/>
  <c r="D267" i="4" s="1"/>
  <c r="M267" i="4"/>
  <c r="J267" i="4"/>
  <c r="I267" i="4"/>
  <c r="K267" i="4" s="1"/>
  <c r="L87" i="5"/>
  <c r="M87" i="5"/>
  <c r="N87" i="5" s="1"/>
  <c r="E89" i="5"/>
  <c r="H88" i="5"/>
  <c r="I88" i="5"/>
  <c r="J88" i="5"/>
  <c r="F88" i="5"/>
  <c r="G88" i="5"/>
  <c r="F268" i="4" l="1"/>
  <c r="C268" i="4"/>
  <c r="E268" i="4" s="1"/>
  <c r="D268" i="4" s="1"/>
  <c r="M268" i="4"/>
  <c r="J268" i="4"/>
  <c r="I268" i="4"/>
  <c r="K268" i="4" s="1"/>
  <c r="H269" i="4"/>
  <c r="A270" i="4"/>
  <c r="B269" i="4"/>
  <c r="E90" i="5"/>
  <c r="M88" i="5"/>
  <c r="L88" i="5"/>
  <c r="G89" i="5"/>
  <c r="H89" i="5"/>
  <c r="I89" i="5"/>
  <c r="J89" i="5"/>
  <c r="F89" i="5"/>
  <c r="M269" i="4" l="1"/>
  <c r="J269" i="4"/>
  <c r="I269" i="4"/>
  <c r="K269" i="4" s="1"/>
  <c r="F269" i="4"/>
  <c r="C269" i="4"/>
  <c r="E269" i="4" s="1"/>
  <c r="D269" i="4" s="1"/>
  <c r="H270" i="4"/>
  <c r="A271" i="4"/>
  <c r="B270" i="4"/>
  <c r="L89" i="5"/>
  <c r="M89" i="5"/>
  <c r="E91" i="5"/>
  <c r="J90" i="5"/>
  <c r="F90" i="5"/>
  <c r="G90" i="5"/>
  <c r="H90" i="5"/>
  <c r="I90" i="5"/>
  <c r="C270" i="4" l="1"/>
  <c r="E270" i="4" s="1"/>
  <c r="D270" i="4" s="1"/>
  <c r="F270" i="4"/>
  <c r="H271" i="4"/>
  <c r="A272" i="4"/>
  <c r="B271" i="4"/>
  <c r="I270" i="4"/>
  <c r="K270" i="4" s="1"/>
  <c r="M270" i="4"/>
  <c r="J270" i="4"/>
  <c r="L90" i="5"/>
  <c r="M90" i="5"/>
  <c r="E92" i="5"/>
  <c r="I91" i="5"/>
  <c r="J91" i="5"/>
  <c r="F91" i="5"/>
  <c r="G91" i="5"/>
  <c r="H91" i="5"/>
  <c r="C271" i="4" l="1"/>
  <c r="E271" i="4" s="1"/>
  <c r="D271" i="4" s="1"/>
  <c r="F271" i="4"/>
  <c r="H272" i="4"/>
  <c r="A273" i="4"/>
  <c r="B272" i="4"/>
  <c r="J271" i="4"/>
  <c r="I271" i="4"/>
  <c r="K271" i="4" s="1"/>
  <c r="M271" i="4"/>
  <c r="L91" i="5"/>
  <c r="M91" i="5"/>
  <c r="H92" i="5"/>
  <c r="I92" i="5"/>
  <c r="J92" i="5"/>
  <c r="F92" i="5"/>
  <c r="G92" i="5"/>
  <c r="E93" i="5"/>
  <c r="F272" i="4" l="1"/>
  <c r="C272" i="4"/>
  <c r="E272" i="4" s="1"/>
  <c r="D272" i="4" s="1"/>
  <c r="H273" i="4"/>
  <c r="A274" i="4"/>
  <c r="B273" i="4"/>
  <c r="J272" i="4"/>
  <c r="I272" i="4"/>
  <c r="K272" i="4" s="1"/>
  <c r="M272" i="4"/>
  <c r="M92" i="5"/>
  <c r="N92" i="5" s="1"/>
  <c r="L92" i="5"/>
  <c r="J93" i="5"/>
  <c r="F93" i="5"/>
  <c r="G93" i="5"/>
  <c r="H93" i="5"/>
  <c r="I93" i="5"/>
  <c r="E94" i="5"/>
  <c r="A275" i="4" l="1"/>
  <c r="H274" i="4"/>
  <c r="B274" i="4"/>
  <c r="F273" i="4"/>
  <c r="C273" i="4"/>
  <c r="E273" i="4" s="1"/>
  <c r="D273" i="4" s="1"/>
  <c r="M273" i="4"/>
  <c r="J273" i="4"/>
  <c r="I273" i="4"/>
  <c r="K273" i="4" s="1"/>
  <c r="I94" i="5"/>
  <c r="J94" i="5"/>
  <c r="F94" i="5"/>
  <c r="G94" i="5"/>
  <c r="H94" i="5"/>
  <c r="E95" i="5"/>
  <c r="L93" i="5"/>
  <c r="M93" i="5"/>
  <c r="C274" i="4" l="1"/>
  <c r="E274" i="4" s="1"/>
  <c r="D274" i="4" s="1"/>
  <c r="F274" i="4"/>
  <c r="M274" i="4"/>
  <c r="J274" i="4"/>
  <c r="I274" i="4"/>
  <c r="K274" i="4" s="1"/>
  <c r="A276" i="4"/>
  <c r="H275" i="4"/>
  <c r="B275" i="4"/>
  <c r="E96" i="5"/>
  <c r="H95" i="5"/>
  <c r="I95" i="5"/>
  <c r="J95" i="5"/>
  <c r="F95" i="5"/>
  <c r="G95" i="5"/>
  <c r="L94" i="5"/>
  <c r="M94" i="5"/>
  <c r="F275" i="4" l="1"/>
  <c r="C275" i="4"/>
  <c r="E275" i="4" s="1"/>
  <c r="D275" i="4" s="1"/>
  <c r="M275" i="4"/>
  <c r="J275" i="4"/>
  <c r="I275" i="4"/>
  <c r="K275" i="4" s="1"/>
  <c r="A277" i="4"/>
  <c r="H276" i="4"/>
  <c r="B276" i="4"/>
  <c r="M95" i="5"/>
  <c r="L95" i="5"/>
  <c r="E97" i="5"/>
  <c r="G96" i="5"/>
  <c r="H96" i="5"/>
  <c r="I96" i="5"/>
  <c r="J96" i="5"/>
  <c r="F96" i="5"/>
  <c r="F276" i="4" l="1"/>
  <c r="C276" i="4"/>
  <c r="E276" i="4" s="1"/>
  <c r="D276" i="4" s="1"/>
  <c r="M276" i="4"/>
  <c r="J276" i="4"/>
  <c r="I276" i="4"/>
  <c r="K276" i="4" s="1"/>
  <c r="A278" i="4"/>
  <c r="H277" i="4"/>
  <c r="B277" i="4"/>
  <c r="L96" i="5"/>
  <c r="M96" i="5"/>
  <c r="E98" i="5"/>
  <c r="J97" i="5"/>
  <c r="F97" i="5"/>
  <c r="G97" i="5"/>
  <c r="H97" i="5"/>
  <c r="I97" i="5"/>
  <c r="A279" i="4" l="1"/>
  <c r="H278" i="4"/>
  <c r="B278" i="4"/>
  <c r="F277" i="4"/>
  <c r="C277" i="4"/>
  <c r="E277" i="4" s="1"/>
  <c r="D277" i="4" s="1"/>
  <c r="M277" i="4"/>
  <c r="I277" i="4"/>
  <c r="K277" i="4" s="1"/>
  <c r="J277" i="4"/>
  <c r="L97" i="5"/>
  <c r="M97" i="5"/>
  <c r="N97" i="5" s="1"/>
  <c r="E99" i="5"/>
  <c r="H98" i="5"/>
  <c r="I98" i="5"/>
  <c r="J98" i="5"/>
  <c r="F98" i="5"/>
  <c r="G98" i="5"/>
  <c r="M278" i="4" l="1"/>
  <c r="J278" i="4"/>
  <c r="I278" i="4"/>
  <c r="K278" i="4" s="1"/>
  <c r="F278" i="4"/>
  <c r="C278" i="4"/>
  <c r="E278" i="4" s="1"/>
  <c r="D278" i="4" s="1"/>
  <c r="A280" i="4"/>
  <c r="H279" i="4"/>
  <c r="B279" i="4"/>
  <c r="E100" i="5"/>
  <c r="M98" i="5"/>
  <c r="L98" i="5"/>
  <c r="G99" i="5"/>
  <c r="H99" i="5"/>
  <c r="I99" i="5"/>
  <c r="J99" i="5"/>
  <c r="F99" i="5"/>
  <c r="C279" i="4" l="1"/>
  <c r="E279" i="4" s="1"/>
  <c r="D279" i="4" s="1"/>
  <c r="F279" i="4"/>
  <c r="M279" i="4"/>
  <c r="J279" i="4"/>
  <c r="I279" i="4"/>
  <c r="K279" i="4" s="1"/>
  <c r="A281" i="4"/>
  <c r="H280" i="4"/>
  <c r="B280" i="4"/>
  <c r="L99" i="5"/>
  <c r="M99" i="5"/>
  <c r="E101" i="5"/>
  <c r="J100" i="5"/>
  <c r="F100" i="5"/>
  <c r="G100" i="5"/>
  <c r="H100" i="5"/>
  <c r="I100" i="5"/>
  <c r="M280" i="4" l="1"/>
  <c r="J280" i="4"/>
  <c r="I280" i="4"/>
  <c r="K280" i="4" s="1"/>
  <c r="F280" i="4"/>
  <c r="C280" i="4"/>
  <c r="E280" i="4" s="1"/>
  <c r="D280" i="4" s="1"/>
  <c r="H281" i="4"/>
  <c r="A282" i="4"/>
  <c r="B281" i="4"/>
  <c r="L100" i="5"/>
  <c r="M100" i="5"/>
  <c r="E102" i="5"/>
  <c r="I101" i="5"/>
  <c r="J101" i="5"/>
  <c r="F101" i="5"/>
  <c r="G101" i="5"/>
  <c r="H101" i="5"/>
  <c r="F281" i="4" l="1"/>
  <c r="C281" i="4"/>
  <c r="E281" i="4" s="1"/>
  <c r="D281" i="4" s="1"/>
  <c r="H282" i="4"/>
  <c r="A283" i="4"/>
  <c r="B282" i="4"/>
  <c r="M281" i="4"/>
  <c r="J281" i="4"/>
  <c r="I281" i="4"/>
  <c r="K281" i="4" s="1"/>
  <c r="L101" i="5"/>
  <c r="M101" i="5"/>
  <c r="H102" i="5"/>
  <c r="I102" i="5"/>
  <c r="J102" i="5"/>
  <c r="F102" i="5"/>
  <c r="G102" i="5"/>
  <c r="E103" i="5"/>
  <c r="F282" i="4" l="1"/>
  <c r="C282" i="4"/>
  <c r="E282" i="4" s="1"/>
  <c r="D282" i="4" s="1"/>
  <c r="H283" i="4"/>
  <c r="A284" i="4"/>
  <c r="B283" i="4"/>
  <c r="I282" i="4"/>
  <c r="K282" i="4" s="1"/>
  <c r="M282" i="4"/>
  <c r="J282" i="4"/>
  <c r="J103" i="5"/>
  <c r="F103" i="5"/>
  <c r="G103" i="5"/>
  <c r="H103" i="5"/>
  <c r="I103" i="5"/>
  <c r="M102" i="5"/>
  <c r="N102" i="5" s="1"/>
  <c r="L102" i="5"/>
  <c r="E104" i="5"/>
  <c r="F283" i="4" l="1"/>
  <c r="C283" i="4"/>
  <c r="E283" i="4" s="1"/>
  <c r="D283" i="4" s="1"/>
  <c r="H284" i="4"/>
  <c r="A285" i="4"/>
  <c r="B284" i="4"/>
  <c r="J283" i="4"/>
  <c r="M283" i="4"/>
  <c r="I283" i="4"/>
  <c r="K283" i="4" s="1"/>
  <c r="I104" i="5"/>
  <c r="J104" i="5"/>
  <c r="F104" i="5"/>
  <c r="G104" i="5"/>
  <c r="H104" i="5"/>
  <c r="L103" i="5"/>
  <c r="M103" i="5"/>
  <c r="E105" i="5"/>
  <c r="H285" i="4" l="1"/>
  <c r="A286" i="4"/>
  <c r="B285" i="4"/>
  <c r="F284" i="4"/>
  <c r="C284" i="4"/>
  <c r="E284" i="4" s="1"/>
  <c r="D284" i="4" s="1"/>
  <c r="J284" i="4"/>
  <c r="I284" i="4"/>
  <c r="K284" i="4" s="1"/>
  <c r="M284" i="4"/>
  <c r="L104" i="5"/>
  <c r="M104" i="5"/>
  <c r="H105" i="5"/>
  <c r="I105" i="5"/>
  <c r="J105" i="5"/>
  <c r="F105" i="5"/>
  <c r="G105" i="5"/>
  <c r="E106" i="5"/>
  <c r="F285" i="4" l="1"/>
  <c r="C285" i="4"/>
  <c r="E285" i="4" s="1"/>
  <c r="D285" i="4" s="1"/>
  <c r="A287" i="4"/>
  <c r="H286" i="4"/>
  <c r="B286" i="4"/>
  <c r="M285" i="4"/>
  <c r="J285" i="4"/>
  <c r="I285" i="4"/>
  <c r="K285" i="4" s="1"/>
  <c r="G106" i="5"/>
  <c r="H106" i="5"/>
  <c r="I106" i="5"/>
  <c r="J106" i="5"/>
  <c r="F106" i="5"/>
  <c r="M105" i="5"/>
  <c r="L105" i="5"/>
  <c r="E107" i="5"/>
  <c r="F286" i="4" l="1"/>
  <c r="C286" i="4"/>
  <c r="E286" i="4" s="1"/>
  <c r="D286" i="4" s="1"/>
  <c r="M286" i="4"/>
  <c r="J286" i="4"/>
  <c r="I286" i="4"/>
  <c r="K286" i="4" s="1"/>
  <c r="A288" i="4"/>
  <c r="H287" i="4"/>
  <c r="B287" i="4"/>
  <c r="L106" i="5"/>
  <c r="M106" i="5"/>
  <c r="J107" i="5"/>
  <c r="F107" i="5"/>
  <c r="G107" i="5"/>
  <c r="H107" i="5"/>
  <c r="I107" i="5"/>
  <c r="E108" i="5"/>
  <c r="F287" i="4" l="1"/>
  <c r="C287" i="4"/>
  <c r="E287" i="4" s="1"/>
  <c r="D287" i="4" s="1"/>
  <c r="M287" i="4"/>
  <c r="J287" i="4"/>
  <c r="I287" i="4"/>
  <c r="K287" i="4" s="1"/>
  <c r="A289" i="4"/>
  <c r="H288" i="4"/>
  <c r="B288" i="4"/>
  <c r="H108" i="5"/>
  <c r="I108" i="5"/>
  <c r="J108" i="5"/>
  <c r="F108" i="5"/>
  <c r="G108" i="5"/>
  <c r="E109" i="5"/>
  <c r="L107" i="5"/>
  <c r="M107" i="5"/>
  <c r="N107" i="5" s="1"/>
  <c r="F288" i="4" l="1"/>
  <c r="C288" i="4"/>
  <c r="E288" i="4" s="1"/>
  <c r="D288" i="4" s="1"/>
  <c r="M288" i="4"/>
  <c r="J288" i="4"/>
  <c r="I288" i="4"/>
  <c r="K288" i="4" s="1"/>
  <c r="A290" i="4"/>
  <c r="H289" i="4"/>
  <c r="B289" i="4"/>
  <c r="G109" i="5"/>
  <c r="H109" i="5"/>
  <c r="I109" i="5"/>
  <c r="J109" i="5"/>
  <c r="F109" i="5"/>
  <c r="E110" i="5"/>
  <c r="M108" i="5"/>
  <c r="L108" i="5"/>
  <c r="C289" i="4" l="1"/>
  <c r="E289" i="4" s="1"/>
  <c r="D289" i="4" s="1"/>
  <c r="F289" i="4"/>
  <c r="M289" i="4"/>
  <c r="J289" i="4"/>
  <c r="I289" i="4"/>
  <c r="K289" i="4" s="1"/>
  <c r="A291" i="4"/>
  <c r="H290" i="4"/>
  <c r="B290" i="4"/>
  <c r="L109" i="5"/>
  <c r="M109" i="5"/>
  <c r="E111" i="5"/>
  <c r="J110" i="5"/>
  <c r="F110" i="5"/>
  <c r="G110" i="5"/>
  <c r="H110" i="5"/>
  <c r="I110" i="5"/>
  <c r="M290" i="4" l="1"/>
  <c r="J290" i="4"/>
  <c r="I290" i="4"/>
  <c r="K290" i="4" s="1"/>
  <c r="F290" i="4"/>
  <c r="C290" i="4"/>
  <c r="E290" i="4" s="1"/>
  <c r="D290" i="4" s="1"/>
  <c r="A292" i="4"/>
  <c r="H291" i="4"/>
  <c r="B291" i="4"/>
  <c r="E112" i="5"/>
  <c r="L110" i="5"/>
  <c r="M110" i="5"/>
  <c r="I111" i="5"/>
  <c r="J111" i="5"/>
  <c r="F111" i="5"/>
  <c r="G111" i="5"/>
  <c r="H111" i="5"/>
  <c r="F291" i="4" l="1"/>
  <c r="C291" i="4"/>
  <c r="E291" i="4" s="1"/>
  <c r="D291" i="4" s="1"/>
  <c r="M291" i="4"/>
  <c r="J291" i="4"/>
  <c r="I291" i="4"/>
  <c r="K291" i="4" s="1"/>
  <c r="A293" i="4"/>
  <c r="H292" i="4"/>
  <c r="B292" i="4"/>
  <c r="H112" i="5"/>
  <c r="I112" i="5"/>
  <c r="J112" i="5"/>
  <c r="F112" i="5"/>
  <c r="G112" i="5"/>
  <c r="L111" i="5"/>
  <c r="M111" i="5"/>
  <c r="E113" i="5"/>
  <c r="F292" i="4" l="1"/>
  <c r="C292" i="4"/>
  <c r="E292" i="4" s="1"/>
  <c r="D292" i="4" s="1"/>
  <c r="M292" i="4"/>
  <c r="J292" i="4"/>
  <c r="I292" i="4"/>
  <c r="K292" i="4" s="1"/>
  <c r="H293" i="4"/>
  <c r="A294" i="4"/>
  <c r="B293" i="4"/>
  <c r="J113" i="5"/>
  <c r="F113" i="5"/>
  <c r="G113" i="5"/>
  <c r="H113" i="5"/>
  <c r="I113" i="5"/>
  <c r="E114" i="5"/>
  <c r="M112" i="5"/>
  <c r="N112" i="5" s="1"/>
  <c r="L112" i="5"/>
  <c r="C293" i="4" l="1"/>
  <c r="E293" i="4" s="1"/>
  <c r="D293" i="4" s="1"/>
  <c r="F293" i="4"/>
  <c r="H294" i="4"/>
  <c r="A295" i="4"/>
  <c r="B294" i="4"/>
  <c r="M293" i="4"/>
  <c r="J293" i="4"/>
  <c r="I293" i="4"/>
  <c r="K293" i="4" s="1"/>
  <c r="E115" i="5"/>
  <c r="I114" i="5"/>
  <c r="J114" i="5"/>
  <c r="F114" i="5"/>
  <c r="G114" i="5"/>
  <c r="H114" i="5"/>
  <c r="L113" i="5"/>
  <c r="M113" i="5"/>
  <c r="C294" i="4" l="1"/>
  <c r="E294" i="4" s="1"/>
  <c r="D294" i="4" s="1"/>
  <c r="F294" i="4"/>
  <c r="H295" i="4"/>
  <c r="A296" i="4"/>
  <c r="B295" i="4"/>
  <c r="I294" i="4"/>
  <c r="K294" i="4" s="1"/>
  <c r="J294" i="4"/>
  <c r="M294" i="4"/>
  <c r="E116" i="5"/>
  <c r="H115" i="5"/>
  <c r="I115" i="5"/>
  <c r="J115" i="5"/>
  <c r="F115" i="5"/>
  <c r="G115" i="5"/>
  <c r="L114" i="5"/>
  <c r="M114" i="5"/>
  <c r="C295" i="4" l="1"/>
  <c r="E295" i="4" s="1"/>
  <c r="D295" i="4" s="1"/>
  <c r="F295" i="4"/>
  <c r="H296" i="4"/>
  <c r="A297" i="4"/>
  <c r="B296" i="4"/>
  <c r="J295" i="4"/>
  <c r="I295" i="4"/>
  <c r="K295" i="4" s="1"/>
  <c r="M295" i="4"/>
  <c r="E117" i="5"/>
  <c r="M115" i="5"/>
  <c r="L115" i="5"/>
  <c r="G116" i="5"/>
  <c r="H116" i="5"/>
  <c r="I116" i="5"/>
  <c r="J116" i="5"/>
  <c r="F116" i="5"/>
  <c r="C296" i="4" l="1"/>
  <c r="E296" i="4" s="1"/>
  <c r="D296" i="4" s="1"/>
  <c r="F296" i="4"/>
  <c r="A298" i="4"/>
  <c r="H297" i="4"/>
  <c r="B297" i="4"/>
  <c r="J296" i="4"/>
  <c r="I296" i="4"/>
  <c r="K296" i="4" s="1"/>
  <c r="M296" i="4"/>
  <c r="L116" i="5"/>
  <c r="M116" i="5"/>
  <c r="E118" i="5"/>
  <c r="J117" i="5"/>
  <c r="F117" i="5"/>
  <c r="G117" i="5"/>
  <c r="H117" i="5"/>
  <c r="I117" i="5"/>
  <c r="A299" i="4" l="1"/>
  <c r="H298" i="4"/>
  <c r="B298" i="4"/>
  <c r="F297" i="4"/>
  <c r="C297" i="4"/>
  <c r="E297" i="4" s="1"/>
  <c r="D297" i="4" s="1"/>
  <c r="M297" i="4"/>
  <c r="J297" i="4"/>
  <c r="I297" i="4"/>
  <c r="K297" i="4" s="1"/>
  <c r="L117" i="5"/>
  <c r="M117" i="5"/>
  <c r="N117" i="5" s="1"/>
  <c r="E119" i="5"/>
  <c r="H118" i="5"/>
  <c r="I118" i="5"/>
  <c r="J118" i="5"/>
  <c r="F118" i="5"/>
  <c r="G118" i="5"/>
  <c r="C298" i="4" l="1"/>
  <c r="E298" i="4" s="1"/>
  <c r="D298" i="4" s="1"/>
  <c r="F298" i="4"/>
  <c r="M298" i="4"/>
  <c r="J298" i="4"/>
  <c r="I298" i="4"/>
  <c r="K298" i="4" s="1"/>
  <c r="A300" i="4"/>
  <c r="H299" i="4"/>
  <c r="B299" i="4"/>
  <c r="E120" i="5"/>
  <c r="M118" i="5"/>
  <c r="L118" i="5"/>
  <c r="G119" i="5"/>
  <c r="H119" i="5"/>
  <c r="I119" i="5"/>
  <c r="J119" i="5"/>
  <c r="F119" i="5"/>
  <c r="F299" i="4" l="1"/>
  <c r="C299" i="4"/>
  <c r="E299" i="4" s="1"/>
  <c r="D299" i="4" s="1"/>
  <c r="I299" i="4"/>
  <c r="K299" i="4" s="1"/>
  <c r="M299" i="4"/>
  <c r="J299" i="4"/>
  <c r="H300" i="4"/>
  <c r="A301" i="4"/>
  <c r="B300" i="4"/>
  <c r="L119" i="5"/>
  <c r="M119" i="5"/>
  <c r="E121" i="5"/>
  <c r="J120" i="5"/>
  <c r="F120" i="5"/>
  <c r="G120" i="5"/>
  <c r="H120" i="5"/>
  <c r="I120" i="5"/>
  <c r="H301" i="4" l="1"/>
  <c r="A302" i="4"/>
  <c r="B301" i="4"/>
  <c r="F300" i="4"/>
  <c r="C300" i="4"/>
  <c r="E300" i="4" s="1"/>
  <c r="D300" i="4" s="1"/>
  <c r="I300" i="4"/>
  <c r="K300" i="4" s="1"/>
  <c r="M300" i="4"/>
  <c r="J300" i="4"/>
  <c r="L120" i="5"/>
  <c r="M120" i="5"/>
  <c r="E122" i="5"/>
  <c r="I121" i="5"/>
  <c r="J121" i="5"/>
  <c r="F121" i="5"/>
  <c r="G121" i="5"/>
  <c r="H121" i="5"/>
  <c r="F301" i="4" l="1"/>
  <c r="C301" i="4"/>
  <c r="E301" i="4" s="1"/>
  <c r="D301" i="4" s="1"/>
  <c r="A303" i="4"/>
  <c r="H302" i="4"/>
  <c r="B302" i="4"/>
  <c r="J301" i="4"/>
  <c r="I301" i="4"/>
  <c r="K301" i="4" s="1"/>
  <c r="M301" i="4"/>
  <c r="H122" i="5"/>
  <c r="I122" i="5"/>
  <c r="J122" i="5"/>
  <c r="F122" i="5"/>
  <c r="G122" i="5"/>
  <c r="L121" i="5"/>
  <c r="M121" i="5"/>
  <c r="E123" i="5"/>
  <c r="A304" i="4" l="1"/>
  <c r="H303" i="4"/>
  <c r="B303" i="4"/>
  <c r="C302" i="4"/>
  <c r="E302" i="4" s="1"/>
  <c r="D302" i="4" s="1"/>
  <c r="F302" i="4"/>
  <c r="M302" i="4"/>
  <c r="J302" i="4"/>
  <c r="I302" i="4"/>
  <c r="K302" i="4" s="1"/>
  <c r="J123" i="5"/>
  <c r="F123" i="5"/>
  <c r="G123" i="5"/>
  <c r="H123" i="5"/>
  <c r="I123" i="5"/>
  <c r="E124" i="5"/>
  <c r="M122" i="5"/>
  <c r="N122" i="5" s="1"/>
  <c r="L122" i="5"/>
  <c r="C303" i="4" l="1"/>
  <c r="E303" i="4" s="1"/>
  <c r="D303" i="4" s="1"/>
  <c r="F303" i="4"/>
  <c r="M303" i="4"/>
  <c r="J303" i="4"/>
  <c r="I303" i="4"/>
  <c r="K303" i="4" s="1"/>
  <c r="H304" i="4"/>
  <c r="A305" i="4"/>
  <c r="B304" i="4"/>
  <c r="E125" i="5"/>
  <c r="L123" i="5"/>
  <c r="M123" i="5"/>
  <c r="I124" i="5"/>
  <c r="J124" i="5"/>
  <c r="F124" i="5"/>
  <c r="G124" i="5"/>
  <c r="H124" i="5"/>
  <c r="F304" i="4" l="1"/>
  <c r="C304" i="4"/>
  <c r="E304" i="4" s="1"/>
  <c r="D304" i="4" s="1"/>
  <c r="H305" i="4"/>
  <c r="A306" i="4"/>
  <c r="B305" i="4"/>
  <c r="I304" i="4"/>
  <c r="K304" i="4" s="1"/>
  <c r="M304" i="4"/>
  <c r="J304" i="4"/>
  <c r="E126" i="5"/>
  <c r="H125" i="5"/>
  <c r="I125" i="5"/>
  <c r="J125" i="5"/>
  <c r="F125" i="5"/>
  <c r="G125" i="5"/>
  <c r="L124" i="5"/>
  <c r="M124" i="5"/>
  <c r="A307" i="4" l="1"/>
  <c r="H306" i="4"/>
  <c r="B306" i="4"/>
  <c r="C305" i="4"/>
  <c r="E305" i="4" s="1"/>
  <c r="D305" i="4" s="1"/>
  <c r="F305" i="4"/>
  <c r="I305" i="4"/>
  <c r="K305" i="4" s="1"/>
  <c r="J305" i="4"/>
  <c r="M305" i="4"/>
  <c r="E127" i="5"/>
  <c r="M125" i="5"/>
  <c r="L125" i="5"/>
  <c r="G126" i="5"/>
  <c r="H126" i="5"/>
  <c r="I126" i="5"/>
  <c r="J126" i="5"/>
  <c r="F126" i="5"/>
  <c r="C306" i="4" l="1"/>
  <c r="E306" i="4" s="1"/>
  <c r="D306" i="4" s="1"/>
  <c r="F306" i="4"/>
  <c r="J306" i="4"/>
  <c r="I306" i="4"/>
  <c r="K306" i="4" s="1"/>
  <c r="M306" i="4"/>
  <c r="A308" i="4"/>
  <c r="H307" i="4"/>
  <c r="B307" i="4"/>
  <c r="L126" i="5"/>
  <c r="M126" i="5"/>
  <c r="E128" i="5"/>
  <c r="J127" i="5"/>
  <c r="F127" i="5"/>
  <c r="G127" i="5"/>
  <c r="H127" i="5"/>
  <c r="I127" i="5"/>
  <c r="F307" i="4" l="1"/>
  <c r="C307" i="4"/>
  <c r="E307" i="4" s="1"/>
  <c r="D307" i="4" s="1"/>
  <c r="J307" i="4"/>
  <c r="M307" i="4"/>
  <c r="I307" i="4"/>
  <c r="K307" i="4" s="1"/>
  <c r="A309" i="4"/>
  <c r="H308" i="4"/>
  <c r="B308" i="4"/>
  <c r="E129" i="5"/>
  <c r="L127" i="5"/>
  <c r="M127" i="5"/>
  <c r="N127" i="5" s="1"/>
  <c r="H128" i="5"/>
  <c r="I128" i="5"/>
  <c r="J128" i="5"/>
  <c r="F128" i="5"/>
  <c r="G128" i="5"/>
  <c r="C308" i="4" l="1"/>
  <c r="E308" i="4" s="1"/>
  <c r="D308" i="4" s="1"/>
  <c r="F308" i="4"/>
  <c r="M308" i="4"/>
  <c r="J308" i="4"/>
  <c r="I308" i="4"/>
  <c r="K308" i="4" s="1"/>
  <c r="A310" i="4"/>
  <c r="H309" i="4"/>
  <c r="B309" i="4"/>
  <c r="E130" i="5"/>
  <c r="G129" i="5"/>
  <c r="H129" i="5"/>
  <c r="I129" i="5"/>
  <c r="J129" i="5"/>
  <c r="F129" i="5"/>
  <c r="M128" i="5"/>
  <c r="L128" i="5"/>
  <c r="F309" i="4" l="1"/>
  <c r="C309" i="4"/>
  <c r="E309" i="4" s="1"/>
  <c r="D309" i="4" s="1"/>
  <c r="I309" i="4"/>
  <c r="K309" i="4" s="1"/>
  <c r="M309" i="4"/>
  <c r="J309" i="4"/>
  <c r="A311" i="4"/>
  <c r="H310" i="4"/>
  <c r="B310" i="4"/>
  <c r="E131" i="5"/>
  <c r="J130" i="5"/>
  <c r="F130" i="5"/>
  <c r="G130" i="5"/>
  <c r="H130" i="5"/>
  <c r="I130" i="5"/>
  <c r="L129" i="5"/>
  <c r="M129" i="5"/>
  <c r="F310" i="4" l="1"/>
  <c r="C310" i="4"/>
  <c r="E310" i="4" s="1"/>
  <c r="D310" i="4" s="1"/>
  <c r="J310" i="4"/>
  <c r="M310" i="4"/>
  <c r="I310" i="4"/>
  <c r="K310" i="4" s="1"/>
  <c r="A312" i="4"/>
  <c r="H311" i="4"/>
  <c r="B311" i="4"/>
  <c r="E132" i="5"/>
  <c r="I131" i="5"/>
  <c r="J131" i="5"/>
  <c r="F131" i="5"/>
  <c r="G131" i="5"/>
  <c r="H131" i="5"/>
  <c r="L130" i="5"/>
  <c r="M130" i="5"/>
  <c r="M311" i="4" l="1"/>
  <c r="J311" i="4"/>
  <c r="I311" i="4"/>
  <c r="K311" i="4" s="1"/>
  <c r="F311" i="4"/>
  <c r="C311" i="4"/>
  <c r="E311" i="4" s="1"/>
  <c r="D311" i="4" s="1"/>
  <c r="A313" i="4"/>
  <c r="H312" i="4"/>
  <c r="B312" i="4"/>
  <c r="H132" i="5"/>
  <c r="I132" i="5"/>
  <c r="J132" i="5"/>
  <c r="F132" i="5"/>
  <c r="G132" i="5"/>
  <c r="L131" i="5"/>
  <c r="M131" i="5"/>
  <c r="E133" i="5"/>
  <c r="H313" i="4" l="1"/>
  <c r="A314" i="4"/>
  <c r="B313" i="4"/>
  <c r="C312" i="4"/>
  <c r="E312" i="4" s="1"/>
  <c r="D312" i="4" s="1"/>
  <c r="F312" i="4"/>
  <c r="M312" i="4"/>
  <c r="J312" i="4"/>
  <c r="I312" i="4"/>
  <c r="K312" i="4" s="1"/>
  <c r="J133" i="5"/>
  <c r="F133" i="5"/>
  <c r="G133" i="5"/>
  <c r="H133" i="5"/>
  <c r="I133" i="5"/>
  <c r="E134" i="5"/>
  <c r="M132" i="5"/>
  <c r="N132" i="5" s="1"/>
  <c r="L132" i="5"/>
  <c r="H314" i="4" l="1"/>
  <c r="A315" i="4"/>
  <c r="B314" i="4"/>
  <c r="C313" i="4"/>
  <c r="E313" i="4" s="1"/>
  <c r="D313" i="4" s="1"/>
  <c r="F313" i="4"/>
  <c r="I313" i="4"/>
  <c r="K313" i="4" s="1"/>
  <c r="M313" i="4"/>
  <c r="J313" i="4"/>
  <c r="E135" i="5"/>
  <c r="L133" i="5"/>
  <c r="M133" i="5"/>
  <c r="I134" i="5"/>
  <c r="J134" i="5"/>
  <c r="F134" i="5"/>
  <c r="G134" i="5"/>
  <c r="H134" i="5"/>
  <c r="F314" i="4" l="1"/>
  <c r="C314" i="4"/>
  <c r="E314" i="4" s="1"/>
  <c r="D314" i="4" s="1"/>
  <c r="A316" i="4"/>
  <c r="H315" i="4"/>
  <c r="B315" i="4"/>
  <c r="J314" i="4"/>
  <c r="I314" i="4"/>
  <c r="K314" i="4" s="1"/>
  <c r="M314" i="4"/>
  <c r="E136" i="5"/>
  <c r="H135" i="5"/>
  <c r="I135" i="5"/>
  <c r="J135" i="5"/>
  <c r="F135" i="5"/>
  <c r="G135" i="5"/>
  <c r="L134" i="5"/>
  <c r="M134" i="5"/>
  <c r="M315" i="4" l="1"/>
  <c r="J315" i="4"/>
  <c r="I315" i="4"/>
  <c r="K315" i="4" s="1"/>
  <c r="F315" i="4"/>
  <c r="C315" i="4"/>
  <c r="E315" i="4" s="1"/>
  <c r="D315" i="4" s="1"/>
  <c r="H316" i="4"/>
  <c r="A317" i="4"/>
  <c r="B316" i="4"/>
  <c r="E137" i="5"/>
  <c r="M135" i="5"/>
  <c r="L135" i="5"/>
  <c r="G136" i="5"/>
  <c r="H136" i="5"/>
  <c r="I136" i="5"/>
  <c r="J136" i="5"/>
  <c r="F136" i="5"/>
  <c r="M316" i="4" l="1"/>
  <c r="J316" i="4"/>
  <c r="I316" i="4"/>
  <c r="K316" i="4" s="1"/>
  <c r="C316" i="4"/>
  <c r="E316" i="4" s="1"/>
  <c r="D316" i="4" s="1"/>
  <c r="F316" i="4"/>
  <c r="H317" i="4"/>
  <c r="A318" i="4"/>
  <c r="B317" i="4"/>
  <c r="L136" i="5"/>
  <c r="M136" i="5"/>
  <c r="E138" i="5"/>
  <c r="H137" i="5"/>
  <c r="J137" i="5"/>
  <c r="F137" i="5"/>
  <c r="G137" i="5"/>
  <c r="I137" i="5"/>
  <c r="C317" i="4" l="1"/>
  <c r="E317" i="4" s="1"/>
  <c r="D317" i="4" s="1"/>
  <c r="F317" i="4"/>
  <c r="H318" i="4"/>
  <c r="A319" i="4"/>
  <c r="B318" i="4"/>
  <c r="I317" i="4"/>
  <c r="K317" i="4" s="1"/>
  <c r="M317" i="4"/>
  <c r="J317" i="4"/>
  <c r="M137" i="5"/>
  <c r="N137" i="5" s="1"/>
  <c r="L137" i="5"/>
  <c r="E139" i="5"/>
  <c r="J138" i="5"/>
  <c r="F138" i="5"/>
  <c r="H138" i="5"/>
  <c r="I138" i="5"/>
  <c r="G138" i="5"/>
  <c r="F318" i="4" l="1"/>
  <c r="C318" i="4"/>
  <c r="E318" i="4" s="1"/>
  <c r="D318" i="4" s="1"/>
  <c r="H319" i="4"/>
  <c r="A320" i="4"/>
  <c r="B319" i="4"/>
  <c r="J318" i="4"/>
  <c r="I318" i="4"/>
  <c r="K318" i="4" s="1"/>
  <c r="M318" i="4"/>
  <c r="M138" i="5"/>
  <c r="L138" i="5"/>
  <c r="E140" i="5"/>
  <c r="I139" i="5"/>
  <c r="G139" i="5"/>
  <c r="H139" i="5"/>
  <c r="J139" i="5"/>
  <c r="F139" i="5"/>
  <c r="F319" i="4" l="1"/>
  <c r="C319" i="4"/>
  <c r="E319" i="4" s="1"/>
  <c r="D319" i="4" s="1"/>
  <c r="H320" i="4"/>
  <c r="A321" i="4"/>
  <c r="B320" i="4"/>
  <c r="J319" i="4"/>
  <c r="I319" i="4"/>
  <c r="K319" i="4" s="1"/>
  <c r="M319" i="4"/>
  <c r="L139" i="5"/>
  <c r="M139" i="5"/>
  <c r="E141" i="5"/>
  <c r="H140" i="5"/>
  <c r="J140" i="5"/>
  <c r="F140" i="5"/>
  <c r="G140" i="5"/>
  <c r="I140" i="5"/>
  <c r="F320" i="4" l="1"/>
  <c r="C320" i="4"/>
  <c r="E320" i="4" s="1"/>
  <c r="D320" i="4" s="1"/>
  <c r="A322" i="4"/>
  <c r="H321" i="4"/>
  <c r="B321" i="4"/>
  <c r="M320" i="4"/>
  <c r="J320" i="4"/>
  <c r="I320" i="4"/>
  <c r="K320" i="4" s="1"/>
  <c r="E142" i="5"/>
  <c r="M140" i="5"/>
  <c r="L140" i="5"/>
  <c r="G141" i="5"/>
  <c r="I141" i="5"/>
  <c r="F141" i="5"/>
  <c r="H141" i="5"/>
  <c r="J141" i="5"/>
  <c r="F321" i="4" l="1"/>
  <c r="C321" i="4"/>
  <c r="E321" i="4" s="1"/>
  <c r="D321" i="4" s="1"/>
  <c r="M321" i="4"/>
  <c r="J321" i="4"/>
  <c r="I321" i="4"/>
  <c r="K321" i="4" s="1"/>
  <c r="A323" i="4"/>
  <c r="H322" i="4"/>
  <c r="B322" i="4"/>
  <c r="E143" i="5"/>
  <c r="J142" i="5"/>
  <c r="F142" i="5"/>
  <c r="H142" i="5"/>
  <c r="G142" i="5"/>
  <c r="I142" i="5"/>
  <c r="L141" i="5"/>
  <c r="M141" i="5"/>
  <c r="F322" i="4" l="1"/>
  <c r="C322" i="4"/>
  <c r="E322" i="4" s="1"/>
  <c r="D322" i="4" s="1"/>
  <c r="M322" i="4"/>
  <c r="J322" i="4"/>
  <c r="I322" i="4"/>
  <c r="K322" i="4" s="1"/>
  <c r="A324" i="4"/>
  <c r="H323" i="4"/>
  <c r="B323" i="4"/>
  <c r="E144" i="5"/>
  <c r="H143" i="5"/>
  <c r="J143" i="5"/>
  <c r="F143" i="5"/>
  <c r="G143" i="5"/>
  <c r="I143" i="5"/>
  <c r="M142" i="5"/>
  <c r="N142" i="5" s="1"/>
  <c r="L142" i="5"/>
  <c r="A325" i="4" l="1"/>
  <c r="H324" i="4"/>
  <c r="B324" i="4"/>
  <c r="C323" i="4"/>
  <c r="E323" i="4" s="1"/>
  <c r="D323" i="4" s="1"/>
  <c r="F323" i="4"/>
  <c r="M323" i="4"/>
  <c r="J323" i="4"/>
  <c r="I323" i="4"/>
  <c r="K323" i="4" s="1"/>
  <c r="E145" i="5"/>
  <c r="M143" i="5"/>
  <c r="L143" i="5"/>
  <c r="G144" i="5"/>
  <c r="I144" i="5"/>
  <c r="J144" i="5"/>
  <c r="F144" i="5"/>
  <c r="H144" i="5"/>
  <c r="F324" i="4" l="1"/>
  <c r="C324" i="4"/>
  <c r="E324" i="4" s="1"/>
  <c r="D324" i="4" s="1"/>
  <c r="M324" i="4"/>
  <c r="J324" i="4"/>
  <c r="I324" i="4"/>
  <c r="K324" i="4" s="1"/>
  <c r="A326" i="4"/>
  <c r="H325" i="4"/>
  <c r="B325" i="4"/>
  <c r="E146" i="5"/>
  <c r="J145" i="5"/>
  <c r="F145" i="5"/>
  <c r="H145" i="5"/>
  <c r="I145" i="5"/>
  <c r="G145" i="5"/>
  <c r="L144" i="5"/>
  <c r="M144" i="5"/>
  <c r="F325" i="4" l="1"/>
  <c r="C325" i="4"/>
  <c r="E325" i="4" s="1"/>
  <c r="D325" i="4" s="1"/>
  <c r="M325" i="4"/>
  <c r="J325" i="4"/>
  <c r="I325" i="4"/>
  <c r="K325" i="4" s="1"/>
  <c r="A327" i="4"/>
  <c r="H326" i="4"/>
  <c r="B326" i="4"/>
  <c r="E147" i="5"/>
  <c r="I146" i="5"/>
  <c r="G146" i="5"/>
  <c r="H146" i="5"/>
  <c r="J146" i="5"/>
  <c r="F146" i="5"/>
  <c r="M145" i="5"/>
  <c r="L145" i="5"/>
  <c r="C326" i="4" l="1"/>
  <c r="E326" i="4" s="1"/>
  <c r="D326" i="4" s="1"/>
  <c r="F326" i="4"/>
  <c r="M326" i="4"/>
  <c r="I326" i="4"/>
  <c r="K326" i="4" s="1"/>
  <c r="J326" i="4"/>
  <c r="H327" i="4"/>
  <c r="A328" i="4"/>
  <c r="B327" i="4"/>
  <c r="E148" i="5"/>
  <c r="H147" i="5"/>
  <c r="J147" i="5"/>
  <c r="F147" i="5"/>
  <c r="G147" i="5"/>
  <c r="I147" i="5"/>
  <c r="L146" i="5"/>
  <c r="M146" i="5"/>
  <c r="F327" i="4" l="1"/>
  <c r="C327" i="4"/>
  <c r="E327" i="4" s="1"/>
  <c r="D327" i="4" s="1"/>
  <c r="H328" i="4"/>
  <c r="A329" i="4"/>
  <c r="B328" i="4"/>
  <c r="M327" i="4"/>
  <c r="J327" i="4"/>
  <c r="I327" i="4"/>
  <c r="K327" i="4" s="1"/>
  <c r="M147" i="5"/>
  <c r="N147" i="5" s="1"/>
  <c r="L147" i="5"/>
  <c r="E149" i="5"/>
  <c r="J148" i="5"/>
  <c r="F148" i="5"/>
  <c r="H148" i="5"/>
  <c r="G148" i="5"/>
  <c r="I148" i="5"/>
  <c r="H329" i="4" l="1"/>
  <c r="A330" i="4"/>
  <c r="B329" i="4"/>
  <c r="F328" i="4"/>
  <c r="C328" i="4"/>
  <c r="E328" i="4" s="1"/>
  <c r="D328" i="4" s="1"/>
  <c r="J328" i="4"/>
  <c r="I328" i="4"/>
  <c r="K328" i="4" s="1"/>
  <c r="M328" i="4"/>
  <c r="M148" i="5"/>
  <c r="L148" i="5"/>
  <c r="E150" i="5"/>
  <c r="I149" i="5"/>
  <c r="G149" i="5"/>
  <c r="F149" i="5"/>
  <c r="H149" i="5"/>
  <c r="J149" i="5"/>
  <c r="F329" i="4" l="1"/>
  <c r="C329" i="4"/>
  <c r="E329" i="4" s="1"/>
  <c r="D329" i="4" s="1"/>
  <c r="H330" i="4"/>
  <c r="A331" i="4"/>
  <c r="B330" i="4"/>
  <c r="I329" i="4"/>
  <c r="K329" i="4" s="1"/>
  <c r="M329" i="4"/>
  <c r="J329" i="4"/>
  <c r="L149" i="5"/>
  <c r="M149" i="5"/>
  <c r="E151" i="5"/>
  <c r="H150" i="5"/>
  <c r="J150" i="5"/>
  <c r="F150" i="5"/>
  <c r="G150" i="5"/>
  <c r="I150" i="5"/>
  <c r="H331" i="4" l="1"/>
  <c r="A332" i="4"/>
  <c r="B331" i="4"/>
  <c r="F330" i="4"/>
  <c r="C330" i="4"/>
  <c r="E330" i="4" s="1"/>
  <c r="D330" i="4" s="1"/>
  <c r="J330" i="4"/>
  <c r="I330" i="4"/>
  <c r="K330" i="4" s="1"/>
  <c r="M330" i="4"/>
  <c r="M150" i="5"/>
  <c r="L150" i="5"/>
  <c r="E152" i="5"/>
  <c r="G151" i="5"/>
  <c r="I151" i="5"/>
  <c r="J151" i="5"/>
  <c r="F151" i="5"/>
  <c r="H151" i="5"/>
  <c r="F331" i="4" l="1"/>
  <c r="C331" i="4"/>
  <c r="E331" i="4" s="1"/>
  <c r="D331" i="4" s="1"/>
  <c r="H332" i="4"/>
  <c r="A333" i="4"/>
  <c r="B332" i="4"/>
  <c r="J331" i="4"/>
  <c r="I331" i="4"/>
  <c r="K331" i="4" s="1"/>
  <c r="M331" i="4"/>
  <c r="E153" i="5"/>
  <c r="L151" i="5"/>
  <c r="M151" i="5"/>
  <c r="J152" i="5"/>
  <c r="F152" i="5"/>
  <c r="H152" i="5"/>
  <c r="I152" i="5"/>
  <c r="G152" i="5"/>
  <c r="C332" i="4" l="1"/>
  <c r="E332" i="4" s="1"/>
  <c r="D332" i="4" s="1"/>
  <c r="F332" i="4"/>
  <c r="A334" i="4"/>
  <c r="H333" i="4"/>
  <c r="B333" i="4"/>
  <c r="M332" i="4"/>
  <c r="J332" i="4"/>
  <c r="I332" i="4"/>
  <c r="K332" i="4" s="1"/>
  <c r="M152" i="5"/>
  <c r="N152" i="5" s="1"/>
  <c r="L152" i="5"/>
  <c r="E154" i="5"/>
  <c r="H153" i="5"/>
  <c r="J153" i="5"/>
  <c r="F153" i="5"/>
  <c r="G153" i="5"/>
  <c r="I153" i="5"/>
  <c r="C333" i="4" l="1"/>
  <c r="E333" i="4" s="1"/>
  <c r="D333" i="4" s="1"/>
  <c r="F333" i="4"/>
  <c r="M333" i="4"/>
  <c r="J333" i="4"/>
  <c r="I333" i="4"/>
  <c r="K333" i="4" s="1"/>
  <c r="A335" i="4"/>
  <c r="H334" i="4"/>
  <c r="B334" i="4"/>
  <c r="M153" i="5"/>
  <c r="L153" i="5"/>
  <c r="E155" i="5"/>
  <c r="G154" i="5"/>
  <c r="I154" i="5"/>
  <c r="F154" i="5"/>
  <c r="H154" i="5"/>
  <c r="J154" i="5"/>
  <c r="A336" i="4" l="1"/>
  <c r="H335" i="4"/>
  <c r="B335" i="4"/>
  <c r="C334" i="4"/>
  <c r="E334" i="4" s="1"/>
  <c r="D334" i="4" s="1"/>
  <c r="F334" i="4"/>
  <c r="M334" i="4"/>
  <c r="J334" i="4"/>
  <c r="I334" i="4"/>
  <c r="K334" i="4" s="1"/>
  <c r="L154" i="5"/>
  <c r="M154" i="5"/>
  <c r="E156" i="5"/>
  <c r="J155" i="5"/>
  <c r="F155" i="5"/>
  <c r="H155" i="5"/>
  <c r="G155" i="5"/>
  <c r="I155" i="5"/>
  <c r="C335" i="4" l="1"/>
  <c r="E335" i="4" s="1"/>
  <c r="D335" i="4" s="1"/>
  <c r="F335" i="4"/>
  <c r="J335" i="4"/>
  <c r="I335" i="4"/>
  <c r="K335" i="4" s="1"/>
  <c r="M335" i="4"/>
  <c r="A337" i="4"/>
  <c r="H336" i="4"/>
  <c r="B336" i="4"/>
  <c r="M155" i="5"/>
  <c r="L155" i="5"/>
  <c r="E157" i="5"/>
  <c r="I156" i="5"/>
  <c r="G156" i="5"/>
  <c r="F156" i="5"/>
  <c r="H156" i="5"/>
  <c r="J156" i="5"/>
  <c r="M336" i="4" l="1"/>
  <c r="J336" i="4"/>
  <c r="I336" i="4"/>
  <c r="K336" i="4" s="1"/>
  <c r="C336" i="4"/>
  <c r="E336" i="4" s="1"/>
  <c r="D336" i="4" s="1"/>
  <c r="F336" i="4"/>
  <c r="A338" i="4"/>
  <c r="H337" i="4"/>
  <c r="B337" i="4"/>
  <c r="L156" i="5"/>
  <c r="M156" i="5"/>
  <c r="E158" i="5"/>
  <c r="H157" i="5"/>
  <c r="J157" i="5"/>
  <c r="F157" i="5"/>
  <c r="G157" i="5"/>
  <c r="I157" i="5"/>
  <c r="C337" i="4" l="1"/>
  <c r="E337" i="4" s="1"/>
  <c r="D337" i="4" s="1"/>
  <c r="F337" i="4"/>
  <c r="M337" i="4"/>
  <c r="J337" i="4"/>
  <c r="I337" i="4"/>
  <c r="K337" i="4" s="1"/>
  <c r="A339" i="4"/>
  <c r="H338" i="4"/>
  <c r="B338" i="4"/>
  <c r="M157" i="5"/>
  <c r="N157" i="5" s="1"/>
  <c r="L157" i="5"/>
  <c r="E159" i="5"/>
  <c r="J158" i="5"/>
  <c r="F158" i="5"/>
  <c r="H158" i="5"/>
  <c r="I158" i="5"/>
  <c r="G158" i="5"/>
  <c r="F338" i="4" l="1"/>
  <c r="C338" i="4"/>
  <c r="E338" i="4" s="1"/>
  <c r="D338" i="4" s="1"/>
  <c r="M338" i="4"/>
  <c r="J338" i="4"/>
  <c r="I338" i="4"/>
  <c r="K338" i="4" s="1"/>
  <c r="H339" i="4"/>
  <c r="A340" i="4"/>
  <c r="B339" i="4"/>
  <c r="M158" i="5"/>
  <c r="L158" i="5"/>
  <c r="E160" i="5"/>
  <c r="I159" i="5"/>
  <c r="G159" i="5"/>
  <c r="H159" i="5"/>
  <c r="J159" i="5"/>
  <c r="F159" i="5"/>
  <c r="C339" i="4" l="1"/>
  <c r="E339" i="4" s="1"/>
  <c r="D339" i="4" s="1"/>
  <c r="F339" i="4"/>
  <c r="H340" i="4"/>
  <c r="A341" i="4"/>
  <c r="B340" i="4"/>
  <c r="I339" i="4"/>
  <c r="K339" i="4" s="1"/>
  <c r="M339" i="4"/>
  <c r="J339" i="4"/>
  <c r="L159" i="5"/>
  <c r="M159" i="5"/>
  <c r="E161" i="5"/>
  <c r="H160" i="5"/>
  <c r="J160" i="5"/>
  <c r="F160" i="5"/>
  <c r="G160" i="5"/>
  <c r="I160" i="5"/>
  <c r="F340" i="4" l="1"/>
  <c r="C340" i="4"/>
  <c r="E340" i="4" s="1"/>
  <c r="D340" i="4" s="1"/>
  <c r="A342" i="4"/>
  <c r="H341" i="4"/>
  <c r="B341" i="4"/>
  <c r="M340" i="4"/>
  <c r="J340" i="4"/>
  <c r="I340" i="4"/>
  <c r="K340" i="4" s="1"/>
  <c r="E162" i="5"/>
  <c r="M160" i="5"/>
  <c r="L160" i="5"/>
  <c r="G161" i="5"/>
  <c r="I161" i="5"/>
  <c r="F161" i="5"/>
  <c r="H161" i="5"/>
  <c r="J161" i="5"/>
  <c r="C341" i="4" l="1"/>
  <c r="E341" i="4" s="1"/>
  <c r="D341" i="4" s="1"/>
  <c r="F341" i="4"/>
  <c r="M341" i="4"/>
  <c r="J341" i="4"/>
  <c r="I341" i="4"/>
  <c r="K341" i="4" s="1"/>
  <c r="H342" i="4"/>
  <c r="A343" i="4"/>
  <c r="B342" i="4"/>
  <c r="E163" i="5"/>
  <c r="J162" i="5"/>
  <c r="F162" i="5"/>
  <c r="G162" i="5"/>
  <c r="H162" i="5"/>
  <c r="I162" i="5"/>
  <c r="L161" i="5"/>
  <c r="M161" i="5"/>
  <c r="F342" i="4" l="1"/>
  <c r="C342" i="4"/>
  <c r="E342" i="4" s="1"/>
  <c r="D342" i="4" s="1"/>
  <c r="H343" i="4"/>
  <c r="A344" i="4"/>
  <c r="B343" i="4"/>
  <c r="M342" i="4"/>
  <c r="J342" i="4"/>
  <c r="I342" i="4"/>
  <c r="K342" i="4" s="1"/>
  <c r="E164" i="5"/>
  <c r="H163" i="5"/>
  <c r="I163" i="5"/>
  <c r="J163" i="5"/>
  <c r="F163" i="5"/>
  <c r="G163" i="5"/>
  <c r="L162" i="5"/>
  <c r="M162" i="5"/>
  <c r="N162" i="5" s="1"/>
  <c r="C343" i="4" l="1"/>
  <c r="E343" i="4" s="1"/>
  <c r="D343" i="4" s="1"/>
  <c r="F343" i="4"/>
  <c r="H344" i="4"/>
  <c r="A345" i="4"/>
  <c r="B344" i="4"/>
  <c r="I343" i="4"/>
  <c r="K343" i="4" s="1"/>
  <c r="M343" i="4"/>
  <c r="J343" i="4"/>
  <c r="E165" i="5"/>
  <c r="M163" i="5"/>
  <c r="L163" i="5"/>
  <c r="G164" i="5"/>
  <c r="H164" i="5"/>
  <c r="I164" i="5"/>
  <c r="F164" i="5"/>
  <c r="J164" i="5"/>
  <c r="C344" i="4" l="1"/>
  <c r="E344" i="4" s="1"/>
  <c r="D344" i="4" s="1"/>
  <c r="F344" i="4"/>
  <c r="A346" i="4"/>
  <c r="H345" i="4"/>
  <c r="B345" i="4"/>
  <c r="J344" i="4"/>
  <c r="M344" i="4"/>
  <c r="I344" i="4"/>
  <c r="K344" i="4" s="1"/>
  <c r="E166" i="5"/>
  <c r="J165" i="5"/>
  <c r="F165" i="5"/>
  <c r="G165" i="5"/>
  <c r="H165" i="5"/>
  <c r="I165" i="5"/>
  <c r="L164" i="5"/>
  <c r="M164" i="5"/>
  <c r="C345" i="4" l="1"/>
  <c r="E345" i="4" s="1"/>
  <c r="D345" i="4" s="1"/>
  <c r="F345" i="4"/>
  <c r="I345" i="4"/>
  <c r="K345" i="4" s="1"/>
  <c r="M345" i="4"/>
  <c r="J345" i="4"/>
  <c r="A347" i="4"/>
  <c r="H346" i="4"/>
  <c r="B346" i="4"/>
  <c r="E167" i="5"/>
  <c r="I166" i="5"/>
  <c r="J166" i="5"/>
  <c r="F166" i="5"/>
  <c r="G166" i="5"/>
  <c r="H166" i="5"/>
  <c r="L165" i="5"/>
  <c r="M165" i="5"/>
  <c r="C346" i="4" l="1"/>
  <c r="E346" i="4" s="1"/>
  <c r="D346" i="4" s="1"/>
  <c r="F346" i="4"/>
  <c r="M346" i="4"/>
  <c r="J346" i="4"/>
  <c r="I346" i="4"/>
  <c r="K346" i="4" s="1"/>
  <c r="A348" i="4"/>
  <c r="H347" i="4"/>
  <c r="B347" i="4"/>
  <c r="L166" i="5"/>
  <c r="M166" i="5"/>
  <c r="H167" i="5"/>
  <c r="I167" i="5"/>
  <c r="J167" i="5"/>
  <c r="F167" i="5"/>
  <c r="G167" i="5"/>
  <c r="E168" i="5"/>
  <c r="C347" i="4" l="1"/>
  <c r="E347" i="4" s="1"/>
  <c r="D347" i="4" s="1"/>
  <c r="F347" i="4"/>
  <c r="M347" i="4"/>
  <c r="I347" i="4"/>
  <c r="K347" i="4" s="1"/>
  <c r="J347" i="4"/>
  <c r="H348" i="4"/>
  <c r="A349" i="4"/>
  <c r="B348" i="4"/>
  <c r="J168" i="5"/>
  <c r="F168" i="5"/>
  <c r="G168" i="5"/>
  <c r="H168" i="5"/>
  <c r="I168" i="5"/>
  <c r="M167" i="5"/>
  <c r="N167" i="5" s="1"/>
  <c r="L167" i="5"/>
  <c r="E169" i="5"/>
  <c r="C348" i="4" l="1"/>
  <c r="E348" i="4" s="1"/>
  <c r="D348" i="4" s="1"/>
  <c r="F348" i="4"/>
  <c r="A350" i="4"/>
  <c r="H349" i="4"/>
  <c r="B349" i="4"/>
  <c r="M348" i="4"/>
  <c r="J348" i="4"/>
  <c r="I348" i="4"/>
  <c r="K348" i="4" s="1"/>
  <c r="I169" i="5"/>
  <c r="J169" i="5"/>
  <c r="F169" i="5"/>
  <c r="G169" i="5"/>
  <c r="H169" i="5"/>
  <c r="L168" i="5"/>
  <c r="M168" i="5"/>
  <c r="E170" i="5"/>
  <c r="C349" i="4" l="1"/>
  <c r="E349" i="4" s="1"/>
  <c r="D349" i="4" s="1"/>
  <c r="F349" i="4"/>
  <c r="M349" i="4"/>
  <c r="J349" i="4"/>
  <c r="I349" i="4"/>
  <c r="K349" i="4" s="1"/>
  <c r="A351" i="4"/>
  <c r="H350" i="4"/>
  <c r="B350" i="4"/>
  <c r="H170" i="5"/>
  <c r="I170" i="5"/>
  <c r="J170" i="5"/>
  <c r="F170" i="5"/>
  <c r="G170" i="5"/>
  <c r="L169" i="5"/>
  <c r="M169" i="5"/>
  <c r="E171" i="5"/>
  <c r="M350" i="4" l="1"/>
  <c r="J350" i="4"/>
  <c r="I350" i="4"/>
  <c r="K350" i="4" s="1"/>
  <c r="A352" i="4"/>
  <c r="H351" i="4"/>
  <c r="B351" i="4"/>
  <c r="F350" i="4"/>
  <c r="C350" i="4"/>
  <c r="E350" i="4" s="1"/>
  <c r="D350" i="4" s="1"/>
  <c r="G171" i="5"/>
  <c r="H171" i="5"/>
  <c r="I171" i="5"/>
  <c r="F171" i="5"/>
  <c r="J171" i="5"/>
  <c r="E172" i="5"/>
  <c r="M170" i="5"/>
  <c r="L170" i="5"/>
  <c r="M351" i="4" l="1"/>
  <c r="I351" i="4"/>
  <c r="K351" i="4" s="1"/>
  <c r="J351" i="4"/>
  <c r="C351" i="4"/>
  <c r="E351" i="4" s="1"/>
  <c r="D351" i="4" s="1"/>
  <c r="F351" i="4"/>
  <c r="H352" i="4"/>
  <c r="A353" i="4"/>
  <c r="B352" i="4"/>
  <c r="E173" i="5"/>
  <c r="J172" i="5"/>
  <c r="F172" i="5"/>
  <c r="G172" i="5"/>
  <c r="H172" i="5"/>
  <c r="I172" i="5"/>
  <c r="L171" i="5"/>
  <c r="M171" i="5"/>
  <c r="F352" i="4" l="1"/>
  <c r="C352" i="4"/>
  <c r="E352" i="4" s="1"/>
  <c r="D352" i="4" s="1"/>
  <c r="H353" i="4"/>
  <c r="A354" i="4"/>
  <c r="B353" i="4"/>
  <c r="J352" i="4"/>
  <c r="I352" i="4"/>
  <c r="K352" i="4" s="1"/>
  <c r="M352" i="4"/>
  <c r="E174" i="5"/>
  <c r="H173" i="5"/>
  <c r="I173" i="5"/>
  <c r="J173" i="5"/>
  <c r="F173" i="5"/>
  <c r="G173" i="5"/>
  <c r="L172" i="5"/>
  <c r="M172" i="5"/>
  <c r="N172" i="5" s="1"/>
  <c r="H354" i="4" l="1"/>
  <c r="A355" i="4"/>
  <c r="B354" i="4"/>
  <c r="C353" i="4"/>
  <c r="E353" i="4" s="1"/>
  <c r="D353" i="4" s="1"/>
  <c r="F353" i="4"/>
  <c r="M353" i="4"/>
  <c r="J353" i="4"/>
  <c r="I353" i="4"/>
  <c r="K353" i="4" s="1"/>
  <c r="E175" i="5"/>
  <c r="M173" i="5"/>
  <c r="L173" i="5"/>
  <c r="G174" i="5"/>
  <c r="H174" i="5"/>
  <c r="I174" i="5"/>
  <c r="F174" i="5"/>
  <c r="J174" i="5"/>
  <c r="F354" i="4" l="1"/>
  <c r="C354" i="4"/>
  <c r="E354" i="4" s="1"/>
  <c r="D354" i="4" s="1"/>
  <c r="H355" i="4"/>
  <c r="A356" i="4"/>
  <c r="B355" i="4"/>
  <c r="M354" i="4"/>
  <c r="I354" i="4"/>
  <c r="K354" i="4" s="1"/>
  <c r="J354" i="4"/>
  <c r="E176" i="5"/>
  <c r="J175" i="5"/>
  <c r="F175" i="5"/>
  <c r="G175" i="5"/>
  <c r="H175" i="5"/>
  <c r="I175" i="5"/>
  <c r="L174" i="5"/>
  <c r="M174" i="5"/>
  <c r="A357" i="4" l="1"/>
  <c r="H356" i="4"/>
  <c r="B356" i="4"/>
  <c r="F355" i="4"/>
  <c r="C355" i="4"/>
  <c r="E355" i="4" s="1"/>
  <c r="D355" i="4" s="1"/>
  <c r="I355" i="4"/>
  <c r="K355" i="4" s="1"/>
  <c r="M355" i="4"/>
  <c r="J355" i="4"/>
  <c r="E177" i="5"/>
  <c r="I176" i="5"/>
  <c r="J176" i="5"/>
  <c r="F176" i="5"/>
  <c r="G176" i="5"/>
  <c r="H176" i="5"/>
  <c r="L175" i="5"/>
  <c r="M175" i="5"/>
  <c r="F356" i="4" l="1"/>
  <c r="C356" i="4"/>
  <c r="E356" i="4" s="1"/>
  <c r="D356" i="4" s="1"/>
  <c r="J356" i="4"/>
  <c r="M356" i="4"/>
  <c r="I356" i="4"/>
  <c r="K356" i="4" s="1"/>
  <c r="H357" i="4"/>
  <c r="A358" i="4"/>
  <c r="B357" i="4"/>
  <c r="L176" i="5"/>
  <c r="M176" i="5"/>
  <c r="H177" i="5"/>
  <c r="I177" i="5"/>
  <c r="J177" i="5"/>
  <c r="F177" i="5"/>
  <c r="G177" i="5"/>
  <c r="E178" i="5"/>
  <c r="C357" i="4" l="1"/>
  <c r="E357" i="4" s="1"/>
  <c r="D357" i="4" s="1"/>
  <c r="F357" i="4"/>
  <c r="H358" i="4"/>
  <c r="A359" i="4"/>
  <c r="B358" i="4"/>
  <c r="I357" i="4"/>
  <c r="K357" i="4" s="1"/>
  <c r="M357" i="4"/>
  <c r="J357" i="4"/>
  <c r="M177" i="5"/>
  <c r="N177" i="5" s="1"/>
  <c r="L177" i="5"/>
  <c r="E179" i="5"/>
  <c r="J178" i="5"/>
  <c r="F178" i="5"/>
  <c r="G178" i="5"/>
  <c r="H178" i="5"/>
  <c r="I178" i="5"/>
  <c r="F358" i="4" l="1"/>
  <c r="C358" i="4"/>
  <c r="E358" i="4" s="1"/>
  <c r="D358" i="4" s="1"/>
  <c r="A360" i="4"/>
  <c r="H359" i="4"/>
  <c r="B359" i="4"/>
  <c r="M358" i="4"/>
  <c r="J358" i="4"/>
  <c r="I358" i="4"/>
  <c r="K358" i="4" s="1"/>
  <c r="L178" i="5"/>
  <c r="M178" i="5"/>
  <c r="E180" i="5"/>
  <c r="I179" i="5"/>
  <c r="J179" i="5"/>
  <c r="F179" i="5"/>
  <c r="G179" i="5"/>
  <c r="H179" i="5"/>
  <c r="F359" i="4" l="1"/>
  <c r="C359" i="4"/>
  <c r="E359" i="4" s="1"/>
  <c r="D359" i="4" s="1"/>
  <c r="J359" i="4"/>
  <c r="M359" i="4"/>
  <c r="I359" i="4"/>
  <c r="K359" i="4" s="1"/>
  <c r="A361" i="4"/>
  <c r="H360" i="4"/>
  <c r="B360" i="4"/>
  <c r="E181" i="5"/>
  <c r="L179" i="5"/>
  <c r="M179" i="5"/>
  <c r="H180" i="5"/>
  <c r="I180" i="5"/>
  <c r="J180" i="5"/>
  <c r="F180" i="5"/>
  <c r="G180" i="5"/>
  <c r="C360" i="4" l="1"/>
  <c r="E360" i="4" s="1"/>
  <c r="D360" i="4" s="1"/>
  <c r="F360" i="4"/>
  <c r="M360" i="4"/>
  <c r="J360" i="4"/>
  <c r="I360" i="4"/>
  <c r="K360" i="4" s="1"/>
  <c r="H361" i="4"/>
  <c r="A362" i="4"/>
  <c r="B361" i="4"/>
  <c r="E182" i="5"/>
  <c r="G181" i="5"/>
  <c r="H181" i="5"/>
  <c r="I181" i="5"/>
  <c r="F181" i="5"/>
  <c r="J181" i="5"/>
  <c r="M180" i="5"/>
  <c r="L180" i="5"/>
  <c r="F361" i="4" l="1"/>
  <c r="C361" i="4"/>
  <c r="E361" i="4" s="1"/>
  <c r="D361" i="4" s="1"/>
  <c r="H362" i="4"/>
  <c r="A363" i="4"/>
  <c r="B362" i="4"/>
  <c r="J361" i="4"/>
  <c r="I361" i="4"/>
  <c r="K361" i="4" s="1"/>
  <c r="M361" i="4"/>
  <c r="E183" i="5"/>
  <c r="L181" i="5"/>
  <c r="M181" i="5"/>
  <c r="J182" i="5"/>
  <c r="F182" i="5"/>
  <c r="G182" i="5"/>
  <c r="H182" i="5"/>
  <c r="I182" i="5"/>
  <c r="C362" i="4" l="1"/>
  <c r="E362" i="4" s="1"/>
  <c r="D362" i="4" s="1"/>
  <c r="F362" i="4"/>
  <c r="A364" i="4"/>
  <c r="H363" i="4"/>
  <c r="B363" i="4"/>
  <c r="M362" i="4"/>
  <c r="J362" i="4"/>
  <c r="I362" i="4"/>
  <c r="K362" i="4" s="1"/>
  <c r="E184" i="5"/>
  <c r="L182" i="5"/>
  <c r="M182" i="5"/>
  <c r="N182" i="5" s="1"/>
  <c r="H183" i="5"/>
  <c r="I183" i="5"/>
  <c r="J183" i="5"/>
  <c r="F183" i="5"/>
  <c r="G183" i="5"/>
  <c r="J363" i="4" l="1"/>
  <c r="I363" i="4"/>
  <c r="K363" i="4" s="1"/>
  <c r="M363" i="4"/>
  <c r="A365" i="4"/>
  <c r="H364" i="4"/>
  <c r="B364" i="4"/>
  <c r="C363" i="4"/>
  <c r="E363" i="4" s="1"/>
  <c r="D363" i="4" s="1"/>
  <c r="F363" i="4"/>
  <c r="E185" i="5"/>
  <c r="G184" i="5"/>
  <c r="H184" i="5"/>
  <c r="I184" i="5"/>
  <c r="J184" i="5"/>
  <c r="F184" i="5"/>
  <c r="M183" i="5"/>
  <c r="L183" i="5"/>
  <c r="C364" i="4" l="1"/>
  <c r="E364" i="4" s="1"/>
  <c r="D364" i="4" s="1"/>
  <c r="F364" i="4"/>
  <c r="M364" i="4"/>
  <c r="J364" i="4"/>
  <c r="I364" i="4"/>
  <c r="K364" i="4" s="1"/>
  <c r="H365" i="4"/>
  <c r="A366" i="4"/>
  <c r="B365" i="4"/>
  <c r="J185" i="5"/>
  <c r="F185" i="5"/>
  <c r="G185" i="5"/>
  <c r="H185" i="5"/>
  <c r="I185" i="5"/>
  <c r="E186" i="5"/>
  <c r="L184" i="5"/>
  <c r="M184" i="5"/>
  <c r="F365" i="4" l="1"/>
  <c r="C365" i="4"/>
  <c r="E365" i="4" s="1"/>
  <c r="D365" i="4" s="1"/>
  <c r="H366" i="4"/>
  <c r="A367" i="4"/>
  <c r="B366" i="4"/>
  <c r="M365" i="4"/>
  <c r="J365" i="4"/>
  <c r="I365" i="4"/>
  <c r="K365" i="4" s="1"/>
  <c r="E187" i="5"/>
  <c r="L185" i="5"/>
  <c r="M185" i="5"/>
  <c r="I186" i="5"/>
  <c r="J186" i="5"/>
  <c r="F186" i="5"/>
  <c r="G186" i="5"/>
  <c r="H186" i="5"/>
  <c r="F366" i="4" l="1"/>
  <c r="C366" i="4"/>
  <c r="E366" i="4" s="1"/>
  <c r="D366" i="4" s="1"/>
  <c r="A368" i="4"/>
  <c r="H367" i="4"/>
  <c r="B367" i="4"/>
  <c r="M366" i="4"/>
  <c r="J366" i="4"/>
  <c r="I366" i="4"/>
  <c r="K366" i="4" s="1"/>
  <c r="H187" i="5"/>
  <c r="I187" i="5"/>
  <c r="J187" i="5"/>
  <c r="F187" i="5"/>
  <c r="G187" i="5"/>
  <c r="E188" i="5"/>
  <c r="L186" i="5"/>
  <c r="M186" i="5"/>
  <c r="F367" i="4" l="1"/>
  <c r="C367" i="4"/>
  <c r="E367" i="4" s="1"/>
  <c r="D367" i="4" s="1"/>
  <c r="I367" i="4"/>
  <c r="K367" i="4" s="1"/>
  <c r="M367" i="4"/>
  <c r="J367" i="4"/>
  <c r="H368" i="4"/>
  <c r="A369" i="4"/>
  <c r="B368" i="4"/>
  <c r="E189" i="5"/>
  <c r="J188" i="5"/>
  <c r="F188" i="5"/>
  <c r="G188" i="5"/>
  <c r="H188" i="5"/>
  <c r="I188" i="5"/>
  <c r="M187" i="5"/>
  <c r="N187" i="5" s="1"/>
  <c r="L187" i="5"/>
  <c r="H369" i="4" l="1"/>
  <c r="A370" i="4"/>
  <c r="B369" i="4"/>
  <c r="F368" i="4"/>
  <c r="C368" i="4"/>
  <c r="E368" i="4" s="1"/>
  <c r="D368" i="4" s="1"/>
  <c r="M368" i="4"/>
  <c r="J368" i="4"/>
  <c r="I368" i="4"/>
  <c r="K368" i="4" s="1"/>
  <c r="E190" i="5"/>
  <c r="I189" i="5"/>
  <c r="J189" i="5"/>
  <c r="F189" i="5"/>
  <c r="G189" i="5"/>
  <c r="H189" i="5"/>
  <c r="L188" i="5"/>
  <c r="M188" i="5"/>
  <c r="F369" i="4" l="1"/>
  <c r="C369" i="4"/>
  <c r="E369" i="4" s="1"/>
  <c r="D369" i="4" s="1"/>
  <c r="A371" i="4"/>
  <c r="H370" i="4"/>
  <c r="B370" i="4"/>
  <c r="I369" i="4"/>
  <c r="K369" i="4" s="1"/>
  <c r="M369" i="4"/>
  <c r="J369" i="4"/>
  <c r="L189" i="5"/>
  <c r="M189" i="5"/>
  <c r="E191" i="5"/>
  <c r="H190" i="5"/>
  <c r="I190" i="5"/>
  <c r="J190" i="5"/>
  <c r="F190" i="5"/>
  <c r="G190" i="5"/>
  <c r="C370" i="4" l="1"/>
  <c r="E370" i="4" s="1"/>
  <c r="D370" i="4" s="1"/>
  <c r="F370" i="4"/>
  <c r="M370" i="4"/>
  <c r="J370" i="4"/>
  <c r="I370" i="4"/>
  <c r="K370" i="4" s="1"/>
  <c r="A372" i="4"/>
  <c r="H371" i="4"/>
  <c r="B371" i="4"/>
  <c r="E192" i="5"/>
  <c r="M190" i="5"/>
  <c r="L190" i="5"/>
  <c r="G191" i="5"/>
  <c r="H191" i="5"/>
  <c r="I191" i="5"/>
  <c r="J191" i="5"/>
  <c r="F191" i="5"/>
  <c r="F371" i="4" l="1"/>
  <c r="C371" i="4"/>
  <c r="E371" i="4" s="1"/>
  <c r="D371" i="4" s="1"/>
  <c r="J371" i="4"/>
  <c r="I371" i="4"/>
  <c r="K371" i="4" s="1"/>
  <c r="M371" i="4"/>
  <c r="A373" i="4"/>
  <c r="H372" i="4"/>
  <c r="B372" i="4"/>
  <c r="L191" i="5"/>
  <c r="M191" i="5"/>
  <c r="E193" i="5"/>
  <c r="J192" i="5"/>
  <c r="F192" i="5"/>
  <c r="G192" i="5"/>
  <c r="H192" i="5"/>
  <c r="I192" i="5"/>
  <c r="F372" i="4" l="1"/>
  <c r="C372" i="4"/>
  <c r="E372" i="4" s="1"/>
  <c r="D372" i="4" s="1"/>
  <c r="M372" i="4"/>
  <c r="J372" i="4"/>
  <c r="I372" i="4"/>
  <c r="K372" i="4" s="1"/>
  <c r="A374" i="4"/>
  <c r="H373" i="4"/>
  <c r="B373" i="4"/>
  <c r="L192" i="5"/>
  <c r="M192" i="5"/>
  <c r="N192" i="5" s="1"/>
  <c r="E194" i="5"/>
  <c r="H193" i="5"/>
  <c r="I193" i="5"/>
  <c r="J193" i="5"/>
  <c r="F193" i="5"/>
  <c r="G193" i="5"/>
  <c r="A375" i="4" l="1"/>
  <c r="H374" i="4"/>
  <c r="B374" i="4"/>
  <c r="C373" i="4"/>
  <c r="E373" i="4" s="1"/>
  <c r="D373" i="4" s="1"/>
  <c r="F373" i="4"/>
  <c r="M373" i="4"/>
  <c r="J373" i="4"/>
  <c r="I373" i="4"/>
  <c r="K373" i="4" s="1"/>
  <c r="E195" i="5"/>
  <c r="M193" i="5"/>
  <c r="L193" i="5"/>
  <c r="G194" i="5"/>
  <c r="H194" i="5"/>
  <c r="I194" i="5"/>
  <c r="F194" i="5"/>
  <c r="J194" i="5"/>
  <c r="C374" i="4" l="1"/>
  <c r="E374" i="4" s="1"/>
  <c r="D374" i="4" s="1"/>
  <c r="F374" i="4"/>
  <c r="I374" i="4"/>
  <c r="K374" i="4" s="1"/>
  <c r="M374" i="4"/>
  <c r="J374" i="4"/>
  <c r="H375" i="4"/>
  <c r="A376" i="4"/>
  <c r="B375" i="4"/>
  <c r="J195" i="5"/>
  <c r="F195" i="5"/>
  <c r="G195" i="5"/>
  <c r="H195" i="5"/>
  <c r="I195" i="5"/>
  <c r="E196" i="5"/>
  <c r="L194" i="5"/>
  <c r="M194" i="5"/>
  <c r="F375" i="4" l="1"/>
  <c r="C375" i="4"/>
  <c r="E375" i="4" s="1"/>
  <c r="D375" i="4" s="1"/>
  <c r="A377" i="4"/>
  <c r="H376" i="4"/>
  <c r="B376" i="4"/>
  <c r="M375" i="4"/>
  <c r="I375" i="4"/>
  <c r="K375" i="4" s="1"/>
  <c r="J375" i="4"/>
  <c r="E197" i="5"/>
  <c r="L195" i="5"/>
  <c r="M195" i="5"/>
  <c r="I196" i="5"/>
  <c r="J196" i="5"/>
  <c r="F196" i="5"/>
  <c r="G196" i="5"/>
  <c r="H196" i="5"/>
  <c r="C376" i="4" l="1"/>
  <c r="E376" i="4" s="1"/>
  <c r="D376" i="4" s="1"/>
  <c r="F376" i="4"/>
  <c r="M376" i="4"/>
  <c r="I376" i="4"/>
  <c r="K376" i="4" s="1"/>
  <c r="J376" i="4"/>
  <c r="A378" i="4"/>
  <c r="H377" i="4"/>
  <c r="B377" i="4"/>
  <c r="H197" i="5"/>
  <c r="I197" i="5"/>
  <c r="J197" i="5"/>
  <c r="F197" i="5"/>
  <c r="G197" i="5"/>
  <c r="L196" i="5"/>
  <c r="M196" i="5"/>
  <c r="E198" i="5"/>
  <c r="H378" i="4" l="1"/>
  <c r="A379" i="4"/>
  <c r="B378" i="4"/>
  <c r="F377" i="4"/>
  <c r="C377" i="4"/>
  <c r="E377" i="4" s="1"/>
  <c r="D377" i="4" s="1"/>
  <c r="I377" i="4"/>
  <c r="K377" i="4" s="1"/>
  <c r="M377" i="4"/>
  <c r="J377" i="4"/>
  <c r="J198" i="5"/>
  <c r="F198" i="5"/>
  <c r="G198" i="5"/>
  <c r="H198" i="5"/>
  <c r="I198" i="5"/>
  <c r="E199" i="5"/>
  <c r="M197" i="5"/>
  <c r="N197" i="5" s="1"/>
  <c r="L197" i="5"/>
  <c r="A380" i="4" l="1"/>
  <c r="H379" i="4"/>
  <c r="B379" i="4"/>
  <c r="F378" i="4"/>
  <c r="C378" i="4"/>
  <c r="E378" i="4" s="1"/>
  <c r="D378" i="4" s="1"/>
  <c r="M378" i="4"/>
  <c r="J378" i="4"/>
  <c r="I378" i="4"/>
  <c r="K378" i="4" s="1"/>
  <c r="E200" i="5"/>
  <c r="L198" i="5"/>
  <c r="M198" i="5"/>
  <c r="I199" i="5"/>
  <c r="J199" i="5"/>
  <c r="F199" i="5"/>
  <c r="G199" i="5"/>
  <c r="H199" i="5"/>
  <c r="F379" i="4" l="1"/>
  <c r="C379" i="4"/>
  <c r="E379" i="4" s="1"/>
  <c r="D379" i="4" s="1"/>
  <c r="I379" i="4"/>
  <c r="K379" i="4" s="1"/>
  <c r="J379" i="4"/>
  <c r="M379" i="4"/>
  <c r="H380" i="4"/>
  <c r="B380" i="4"/>
  <c r="A381" i="4"/>
  <c r="E201" i="5"/>
  <c r="H200" i="5"/>
  <c r="I200" i="5"/>
  <c r="J200" i="5"/>
  <c r="F200" i="5"/>
  <c r="G200" i="5"/>
  <c r="L199" i="5"/>
  <c r="M199" i="5"/>
  <c r="J380" i="4" l="1"/>
  <c r="I380" i="4"/>
  <c r="K380" i="4" s="1"/>
  <c r="M380" i="4"/>
  <c r="H381" i="4"/>
  <c r="A382" i="4"/>
  <c r="B381" i="4"/>
  <c r="F380" i="4"/>
  <c r="C380" i="4"/>
  <c r="E380" i="4" s="1"/>
  <c r="D380" i="4" s="1"/>
  <c r="E202" i="5"/>
  <c r="M200" i="5"/>
  <c r="L200" i="5"/>
  <c r="G201" i="5"/>
  <c r="H201" i="5"/>
  <c r="I201" i="5"/>
  <c r="F201" i="5"/>
  <c r="J201" i="5"/>
  <c r="A383" i="4" l="1"/>
  <c r="H382" i="4"/>
  <c r="B382" i="4"/>
  <c r="C381" i="4"/>
  <c r="E381" i="4" s="1"/>
  <c r="D381" i="4" s="1"/>
  <c r="F381" i="4"/>
  <c r="M381" i="4"/>
  <c r="I381" i="4"/>
  <c r="K381" i="4" s="1"/>
  <c r="J381" i="4"/>
  <c r="E203" i="5"/>
  <c r="J202" i="5"/>
  <c r="F202" i="5"/>
  <c r="G202" i="5"/>
  <c r="H202" i="5"/>
  <c r="I202" i="5"/>
  <c r="L201" i="5"/>
  <c r="M201" i="5"/>
  <c r="F382" i="4" l="1"/>
  <c r="C382" i="4"/>
  <c r="E382" i="4" s="1"/>
  <c r="D382" i="4" s="1"/>
  <c r="M382" i="4"/>
  <c r="J382" i="4"/>
  <c r="I382" i="4"/>
  <c r="K382" i="4" s="1"/>
  <c r="B383" i="4"/>
  <c r="A384" i="4"/>
  <c r="H383" i="4"/>
  <c r="E204" i="5"/>
  <c r="H203" i="5"/>
  <c r="I203" i="5"/>
  <c r="J203" i="5"/>
  <c r="F203" i="5"/>
  <c r="G203" i="5"/>
  <c r="L202" i="5"/>
  <c r="M202" i="5"/>
  <c r="N202" i="5" s="1"/>
  <c r="C383" i="4" l="1"/>
  <c r="E383" i="4" s="1"/>
  <c r="D383" i="4" s="1"/>
  <c r="F383" i="4"/>
  <c r="J383" i="4"/>
  <c r="M383" i="4"/>
  <c r="I383" i="4"/>
  <c r="K383" i="4" s="1"/>
  <c r="H384" i="4"/>
  <c r="A385" i="4"/>
  <c r="B384" i="4"/>
  <c r="E205" i="5"/>
  <c r="M203" i="5"/>
  <c r="L203" i="5"/>
  <c r="G204" i="5"/>
  <c r="H204" i="5"/>
  <c r="I204" i="5"/>
  <c r="F204" i="5"/>
  <c r="J204" i="5"/>
  <c r="C384" i="4" l="1"/>
  <c r="E384" i="4" s="1"/>
  <c r="D384" i="4" s="1"/>
  <c r="F384" i="4"/>
  <c r="A386" i="4"/>
  <c r="B385" i="4"/>
  <c r="H385" i="4"/>
  <c r="J384" i="4"/>
  <c r="M384" i="4"/>
  <c r="I384" i="4"/>
  <c r="K384" i="4" s="1"/>
  <c r="E206" i="5"/>
  <c r="J205" i="5"/>
  <c r="F205" i="5"/>
  <c r="G205" i="5"/>
  <c r="H205" i="5"/>
  <c r="I205" i="5"/>
  <c r="L204" i="5"/>
  <c r="M204" i="5"/>
  <c r="M385" i="4" l="1"/>
  <c r="I385" i="4"/>
  <c r="K385" i="4" s="1"/>
  <c r="J385" i="4"/>
  <c r="C385" i="4"/>
  <c r="E385" i="4" s="1"/>
  <c r="D385" i="4" s="1"/>
  <c r="F385" i="4"/>
  <c r="H386" i="4"/>
  <c r="B386" i="4"/>
  <c r="A387" i="4"/>
  <c r="I206" i="5"/>
  <c r="J206" i="5"/>
  <c r="F206" i="5"/>
  <c r="G206" i="5"/>
  <c r="H206" i="5"/>
  <c r="E207" i="5"/>
  <c r="L205" i="5"/>
  <c r="M205" i="5"/>
  <c r="H387" i="4" l="1"/>
  <c r="B387" i="4"/>
  <c r="A388" i="4"/>
  <c r="C386" i="4"/>
  <c r="E386" i="4" s="1"/>
  <c r="D386" i="4" s="1"/>
  <c r="F386" i="4"/>
  <c r="M386" i="4"/>
  <c r="J386" i="4"/>
  <c r="I386" i="4"/>
  <c r="K386" i="4" s="1"/>
  <c r="E208" i="5"/>
  <c r="H207" i="5"/>
  <c r="I207" i="5"/>
  <c r="J207" i="5"/>
  <c r="F207" i="5"/>
  <c r="G207" i="5"/>
  <c r="L206" i="5"/>
  <c r="M206" i="5"/>
  <c r="B388" i="4" l="1"/>
  <c r="A389" i="4"/>
  <c r="H388" i="4"/>
  <c r="C387" i="4"/>
  <c r="E387" i="4" s="1"/>
  <c r="D387" i="4" s="1"/>
  <c r="F387" i="4"/>
  <c r="M387" i="4"/>
  <c r="I387" i="4"/>
  <c r="K387" i="4" s="1"/>
  <c r="J387" i="4"/>
  <c r="E209" i="5"/>
  <c r="M207" i="5"/>
  <c r="N207" i="5" s="1"/>
  <c r="L207" i="5"/>
  <c r="J208" i="5"/>
  <c r="F208" i="5"/>
  <c r="G208" i="5"/>
  <c r="H208" i="5"/>
  <c r="I208" i="5"/>
  <c r="J388" i="4" l="1"/>
  <c r="I388" i="4"/>
  <c r="K388" i="4" s="1"/>
  <c r="M388" i="4"/>
  <c r="B389" i="4"/>
  <c r="H389" i="4"/>
  <c r="A390" i="4"/>
  <c r="F388" i="4"/>
  <c r="C388" i="4"/>
  <c r="E388" i="4" s="1"/>
  <c r="D388" i="4" s="1"/>
  <c r="E210" i="5"/>
  <c r="L208" i="5"/>
  <c r="M208" i="5"/>
  <c r="I209" i="5"/>
  <c r="J209" i="5"/>
  <c r="F209" i="5"/>
  <c r="G209" i="5"/>
  <c r="H209" i="5"/>
  <c r="H390" i="4" l="1"/>
  <c r="A391" i="4"/>
  <c r="B390" i="4"/>
  <c r="I389" i="4"/>
  <c r="K389" i="4" s="1"/>
  <c r="J389" i="4"/>
  <c r="M389" i="4"/>
  <c r="F389" i="4"/>
  <c r="C389" i="4"/>
  <c r="E389" i="4" s="1"/>
  <c r="D389" i="4" s="1"/>
  <c r="E211" i="5"/>
  <c r="H210" i="5"/>
  <c r="I210" i="5"/>
  <c r="J210" i="5"/>
  <c r="F210" i="5"/>
  <c r="G210" i="5"/>
  <c r="L209" i="5"/>
  <c r="M209" i="5"/>
  <c r="F390" i="4" l="1"/>
  <c r="C390" i="4"/>
  <c r="E390" i="4" s="1"/>
  <c r="D390" i="4" s="1"/>
  <c r="B391" i="4"/>
  <c r="H391" i="4"/>
  <c r="A392" i="4"/>
  <c r="J390" i="4"/>
  <c r="I390" i="4"/>
  <c r="K390" i="4" s="1"/>
  <c r="M390" i="4"/>
  <c r="E212" i="5"/>
  <c r="M210" i="5"/>
  <c r="L210" i="5"/>
  <c r="G211" i="5"/>
  <c r="H211" i="5"/>
  <c r="I211" i="5"/>
  <c r="F211" i="5"/>
  <c r="J211" i="5"/>
  <c r="A393" i="4" l="1"/>
  <c r="H392" i="4"/>
  <c r="B392" i="4"/>
  <c r="J391" i="4"/>
  <c r="I391" i="4"/>
  <c r="K391" i="4" s="1"/>
  <c r="M391" i="4"/>
  <c r="F391" i="4"/>
  <c r="C391" i="4"/>
  <c r="E391" i="4" s="1"/>
  <c r="D391" i="4" s="1"/>
  <c r="E213" i="5"/>
  <c r="J212" i="5"/>
  <c r="F212" i="5"/>
  <c r="G212" i="5"/>
  <c r="H212" i="5"/>
  <c r="I212" i="5"/>
  <c r="L211" i="5"/>
  <c r="M211" i="5"/>
  <c r="F392" i="4" l="1"/>
  <c r="C392" i="4"/>
  <c r="E392" i="4" s="1"/>
  <c r="D392" i="4" s="1"/>
  <c r="I392" i="4"/>
  <c r="K392" i="4" s="1"/>
  <c r="M392" i="4"/>
  <c r="J392" i="4"/>
  <c r="A394" i="4"/>
  <c r="H393" i="4"/>
  <c r="B393" i="4"/>
  <c r="E214" i="5"/>
  <c r="H213" i="5"/>
  <c r="I213" i="5"/>
  <c r="J213" i="5"/>
  <c r="F213" i="5"/>
  <c r="G213" i="5"/>
  <c r="L212" i="5"/>
  <c r="M212" i="5"/>
  <c r="N212" i="5" s="1"/>
  <c r="F393" i="4" l="1"/>
  <c r="C393" i="4"/>
  <c r="E393" i="4" s="1"/>
  <c r="D393" i="4" s="1"/>
  <c r="I393" i="4"/>
  <c r="K393" i="4" s="1"/>
  <c r="M393" i="4"/>
  <c r="J393" i="4"/>
  <c r="H394" i="4"/>
  <c r="A395" i="4"/>
  <c r="B394" i="4"/>
  <c r="E215" i="5"/>
  <c r="M213" i="5"/>
  <c r="L213" i="5"/>
  <c r="G214" i="5"/>
  <c r="H214" i="5"/>
  <c r="I214" i="5"/>
  <c r="F214" i="5"/>
  <c r="J214" i="5"/>
  <c r="F394" i="4" l="1"/>
  <c r="C394" i="4"/>
  <c r="E394" i="4" s="1"/>
  <c r="D394" i="4" s="1"/>
  <c r="H395" i="4"/>
  <c r="A396" i="4"/>
  <c r="B395" i="4"/>
  <c r="I394" i="4"/>
  <c r="K394" i="4" s="1"/>
  <c r="M394" i="4"/>
  <c r="J394" i="4"/>
  <c r="E216" i="5"/>
  <c r="J215" i="5"/>
  <c r="F215" i="5"/>
  <c r="G215" i="5"/>
  <c r="H215" i="5"/>
  <c r="I215" i="5"/>
  <c r="L214" i="5"/>
  <c r="M214" i="5"/>
  <c r="B396" i="4" l="1"/>
  <c r="H396" i="4"/>
  <c r="A397" i="4"/>
  <c r="C395" i="4"/>
  <c r="E395" i="4" s="1"/>
  <c r="D395" i="4" s="1"/>
  <c r="F395" i="4"/>
  <c r="J395" i="4"/>
  <c r="M395" i="4"/>
  <c r="I395" i="4"/>
  <c r="K395" i="4" s="1"/>
  <c r="E217" i="5"/>
  <c r="I216" i="5"/>
  <c r="J216" i="5"/>
  <c r="F216" i="5"/>
  <c r="G216" i="5"/>
  <c r="H216" i="5"/>
  <c r="L215" i="5"/>
  <c r="M215" i="5"/>
  <c r="B397" i="4" l="1"/>
  <c r="A398" i="4"/>
  <c r="H397" i="4"/>
  <c r="M396" i="4"/>
  <c r="J396" i="4"/>
  <c r="I396" i="4"/>
  <c r="K396" i="4" s="1"/>
  <c r="F396" i="4"/>
  <c r="C396" i="4"/>
  <c r="E396" i="4" s="1"/>
  <c r="D396" i="4" s="1"/>
  <c r="L216" i="5"/>
  <c r="M216" i="5"/>
  <c r="H217" i="5"/>
  <c r="I217" i="5"/>
  <c r="J217" i="5"/>
  <c r="F217" i="5"/>
  <c r="G217" i="5"/>
  <c r="E218" i="5"/>
  <c r="M397" i="4" l="1"/>
  <c r="I397" i="4"/>
  <c r="K397" i="4" s="1"/>
  <c r="J397" i="4"/>
  <c r="H398" i="4"/>
  <c r="B398" i="4"/>
  <c r="A399" i="4"/>
  <c r="C397" i="4"/>
  <c r="E397" i="4" s="1"/>
  <c r="D397" i="4" s="1"/>
  <c r="F397" i="4"/>
  <c r="M217" i="5"/>
  <c r="N217" i="5" s="1"/>
  <c r="L217" i="5"/>
  <c r="E219" i="5"/>
  <c r="J218" i="5"/>
  <c r="F218" i="5"/>
  <c r="G218" i="5"/>
  <c r="H218" i="5"/>
  <c r="I218" i="5"/>
  <c r="A400" i="4" l="1"/>
  <c r="H399" i="4"/>
  <c r="B399" i="4"/>
  <c r="F398" i="4"/>
  <c r="C398" i="4"/>
  <c r="E398" i="4" s="1"/>
  <c r="D398" i="4" s="1"/>
  <c r="J398" i="4"/>
  <c r="M398" i="4"/>
  <c r="I398" i="4"/>
  <c r="K398" i="4" s="1"/>
  <c r="L218" i="5"/>
  <c r="M218" i="5"/>
  <c r="E220" i="5"/>
  <c r="I219" i="5"/>
  <c r="J219" i="5"/>
  <c r="F219" i="5"/>
  <c r="G219" i="5"/>
  <c r="H219" i="5"/>
  <c r="C399" i="4" l="1"/>
  <c r="E399" i="4" s="1"/>
  <c r="D399" i="4" s="1"/>
  <c r="F399" i="4"/>
  <c r="M399" i="4"/>
  <c r="J399" i="4"/>
  <c r="I399" i="4"/>
  <c r="K399" i="4" s="1"/>
  <c r="B400" i="4"/>
  <c r="A401" i="4"/>
  <c r="H400" i="4"/>
  <c r="E221" i="5"/>
  <c r="L219" i="5"/>
  <c r="M219" i="5"/>
  <c r="H220" i="5"/>
  <c r="I220" i="5"/>
  <c r="J220" i="5"/>
  <c r="F220" i="5"/>
  <c r="G220" i="5"/>
  <c r="M400" i="4" l="1"/>
  <c r="J400" i="4"/>
  <c r="I400" i="4"/>
  <c r="K400" i="4" s="1"/>
  <c r="A402" i="4"/>
  <c r="B401" i="4"/>
  <c r="H401" i="4"/>
  <c r="C400" i="4"/>
  <c r="E400" i="4" s="1"/>
  <c r="D400" i="4" s="1"/>
  <c r="F400" i="4"/>
  <c r="E222" i="5"/>
  <c r="G221" i="5"/>
  <c r="H221" i="5"/>
  <c r="I221" i="5"/>
  <c r="F221" i="5"/>
  <c r="J221" i="5"/>
  <c r="M220" i="5"/>
  <c r="L220" i="5"/>
  <c r="C401" i="4" l="1"/>
  <c r="E401" i="4" s="1"/>
  <c r="D401" i="4" s="1"/>
  <c r="F401" i="4"/>
  <c r="M401" i="4"/>
  <c r="J401" i="4"/>
  <c r="I401" i="4"/>
  <c r="K401" i="4" s="1"/>
  <c r="A403" i="4"/>
  <c r="H402" i="4"/>
  <c r="B402" i="4"/>
  <c r="E223" i="5"/>
  <c r="L221" i="5"/>
  <c r="M221" i="5"/>
  <c r="J222" i="5"/>
  <c r="F222" i="5"/>
  <c r="G222" i="5"/>
  <c r="H222" i="5"/>
  <c r="I222" i="5"/>
  <c r="B403" i="4" l="1"/>
  <c r="H403" i="4"/>
  <c r="A404" i="4"/>
  <c r="C402" i="4"/>
  <c r="E402" i="4" s="1"/>
  <c r="D402" i="4" s="1"/>
  <c r="F402" i="4"/>
  <c r="I402" i="4"/>
  <c r="K402" i="4" s="1"/>
  <c r="M402" i="4"/>
  <c r="J402" i="4"/>
  <c r="E224" i="5"/>
  <c r="L222" i="5"/>
  <c r="M222" i="5"/>
  <c r="N222" i="5" s="1"/>
  <c r="H223" i="5"/>
  <c r="I223" i="5"/>
  <c r="J223" i="5"/>
  <c r="F223" i="5"/>
  <c r="G223" i="5"/>
  <c r="H404" i="4" l="1"/>
  <c r="A405" i="4"/>
  <c r="B404" i="4"/>
  <c r="I403" i="4"/>
  <c r="K403" i="4" s="1"/>
  <c r="J403" i="4"/>
  <c r="M403" i="4"/>
  <c r="F403" i="4"/>
  <c r="C403" i="4"/>
  <c r="E403" i="4" s="1"/>
  <c r="D403" i="4" s="1"/>
  <c r="E225" i="5"/>
  <c r="G224" i="5"/>
  <c r="H224" i="5"/>
  <c r="I224" i="5"/>
  <c r="J224" i="5"/>
  <c r="F224" i="5"/>
  <c r="M223" i="5"/>
  <c r="L223" i="5"/>
  <c r="C404" i="4" l="1"/>
  <c r="E404" i="4" s="1"/>
  <c r="D404" i="4" s="1"/>
  <c r="F404" i="4"/>
  <c r="H405" i="4"/>
  <c r="A406" i="4"/>
  <c r="B405" i="4"/>
  <c r="J404" i="4"/>
  <c r="I404" i="4"/>
  <c r="K404" i="4" s="1"/>
  <c r="M404" i="4"/>
  <c r="J225" i="5"/>
  <c r="F225" i="5"/>
  <c r="G225" i="5"/>
  <c r="H225" i="5"/>
  <c r="I225" i="5"/>
  <c r="E226" i="5"/>
  <c r="L224" i="5"/>
  <c r="M224" i="5"/>
  <c r="F405" i="4" l="1"/>
  <c r="C405" i="4"/>
  <c r="E405" i="4" s="1"/>
  <c r="D405" i="4" s="1"/>
  <c r="A407" i="4"/>
  <c r="H406" i="4"/>
  <c r="B406" i="4"/>
  <c r="I405" i="4"/>
  <c r="K405" i="4" s="1"/>
  <c r="M405" i="4"/>
  <c r="J405" i="4"/>
  <c r="E227" i="5"/>
  <c r="L225" i="5"/>
  <c r="M225" i="5"/>
  <c r="I226" i="5"/>
  <c r="J226" i="5"/>
  <c r="F226" i="5"/>
  <c r="G226" i="5"/>
  <c r="H226" i="5"/>
  <c r="F406" i="4" l="1"/>
  <c r="C406" i="4"/>
  <c r="E406" i="4" s="1"/>
  <c r="D406" i="4" s="1"/>
  <c r="J406" i="4"/>
  <c r="M406" i="4"/>
  <c r="I406" i="4"/>
  <c r="K406" i="4" s="1"/>
  <c r="H407" i="4"/>
  <c r="A408" i="4"/>
  <c r="B407" i="4"/>
  <c r="H227" i="5"/>
  <c r="I227" i="5"/>
  <c r="J227" i="5"/>
  <c r="F227" i="5"/>
  <c r="G227" i="5"/>
  <c r="E228" i="5"/>
  <c r="L226" i="5"/>
  <c r="M226" i="5"/>
  <c r="C407" i="4" l="1"/>
  <c r="E407" i="4" s="1"/>
  <c r="D407" i="4" s="1"/>
  <c r="F407" i="4"/>
  <c r="A409" i="4"/>
  <c r="B408" i="4"/>
  <c r="H408" i="4"/>
  <c r="M407" i="4"/>
  <c r="J407" i="4"/>
  <c r="I407" i="4"/>
  <c r="K407" i="4" s="1"/>
  <c r="J228" i="5"/>
  <c r="F228" i="5"/>
  <c r="G228" i="5"/>
  <c r="H228" i="5"/>
  <c r="I228" i="5"/>
  <c r="E229" i="5"/>
  <c r="M227" i="5"/>
  <c r="N227" i="5" s="1"/>
  <c r="L227" i="5"/>
  <c r="M408" i="4" l="1"/>
  <c r="I408" i="4"/>
  <c r="K408" i="4" s="1"/>
  <c r="J408" i="4"/>
  <c r="F408" i="4"/>
  <c r="C408" i="4"/>
  <c r="E408" i="4" s="1"/>
  <c r="D408" i="4" s="1"/>
  <c r="B409" i="4"/>
  <c r="A410" i="4"/>
  <c r="H409" i="4"/>
  <c r="E230" i="5"/>
  <c r="L228" i="5"/>
  <c r="M228" i="5"/>
  <c r="I229" i="5"/>
  <c r="J229" i="5"/>
  <c r="F229" i="5"/>
  <c r="G229" i="5"/>
  <c r="H229" i="5"/>
  <c r="M409" i="4" l="1"/>
  <c r="J409" i="4"/>
  <c r="I409" i="4"/>
  <c r="K409" i="4" s="1"/>
  <c r="B410" i="4"/>
  <c r="H410" i="4"/>
  <c r="A411" i="4"/>
  <c r="F409" i="4"/>
  <c r="C409" i="4"/>
  <c r="E409" i="4" s="1"/>
  <c r="D409" i="4" s="1"/>
  <c r="E231" i="5"/>
  <c r="H230" i="5"/>
  <c r="I230" i="5"/>
  <c r="J230" i="5"/>
  <c r="F230" i="5"/>
  <c r="G230" i="5"/>
  <c r="L229" i="5"/>
  <c r="M229" i="5"/>
  <c r="M410" i="4" l="1"/>
  <c r="I410" i="4"/>
  <c r="K410" i="4" s="1"/>
  <c r="J410" i="4"/>
  <c r="B411" i="4"/>
  <c r="H411" i="4"/>
  <c r="A412" i="4"/>
  <c r="C410" i="4"/>
  <c r="E410" i="4" s="1"/>
  <c r="D410" i="4" s="1"/>
  <c r="F410" i="4"/>
  <c r="G231" i="5"/>
  <c r="H231" i="5"/>
  <c r="I231" i="5"/>
  <c r="J231" i="5"/>
  <c r="F231" i="5"/>
  <c r="E232" i="5"/>
  <c r="M230" i="5"/>
  <c r="L230" i="5"/>
  <c r="M411" i="4" l="1"/>
  <c r="I411" i="4"/>
  <c r="K411" i="4" s="1"/>
  <c r="J411" i="4"/>
  <c r="B412" i="4"/>
  <c r="H412" i="4"/>
  <c r="A413" i="4"/>
  <c r="C411" i="4"/>
  <c r="E411" i="4" s="1"/>
  <c r="D411" i="4" s="1"/>
  <c r="F411" i="4"/>
  <c r="L231" i="5"/>
  <c r="M231" i="5"/>
  <c r="E233" i="5"/>
  <c r="J232" i="5"/>
  <c r="F232" i="5"/>
  <c r="G232" i="5"/>
  <c r="H232" i="5"/>
  <c r="I232" i="5"/>
  <c r="M412" i="4" l="1"/>
  <c r="J412" i="4"/>
  <c r="I412" i="4"/>
  <c r="K412" i="4" s="1"/>
  <c r="B413" i="4"/>
  <c r="H413" i="4"/>
  <c r="A414" i="4"/>
  <c r="C412" i="4"/>
  <c r="E412" i="4" s="1"/>
  <c r="D412" i="4" s="1"/>
  <c r="F412" i="4"/>
  <c r="L232" i="5"/>
  <c r="M232" i="5"/>
  <c r="N232" i="5" s="1"/>
  <c r="E234" i="5"/>
  <c r="H233" i="5"/>
  <c r="I233" i="5"/>
  <c r="J233" i="5"/>
  <c r="F233" i="5"/>
  <c r="G233" i="5"/>
  <c r="C413" i="4" l="1"/>
  <c r="E413" i="4" s="1"/>
  <c r="D413" i="4" s="1"/>
  <c r="F413" i="4"/>
  <c r="H414" i="4"/>
  <c r="B414" i="4"/>
  <c r="A415" i="4"/>
  <c r="I413" i="4"/>
  <c r="K413" i="4" s="1"/>
  <c r="M413" i="4"/>
  <c r="J413" i="4"/>
  <c r="E235" i="5"/>
  <c r="M233" i="5"/>
  <c r="L233" i="5"/>
  <c r="G234" i="5"/>
  <c r="H234" i="5"/>
  <c r="I234" i="5"/>
  <c r="F234" i="5"/>
  <c r="J234" i="5"/>
  <c r="H415" i="4" l="1"/>
  <c r="B415" i="4"/>
  <c r="A416" i="4"/>
  <c r="C414" i="4"/>
  <c r="E414" i="4" s="1"/>
  <c r="D414" i="4" s="1"/>
  <c r="F414" i="4"/>
  <c r="J414" i="4"/>
  <c r="I414" i="4"/>
  <c r="K414" i="4" s="1"/>
  <c r="M414" i="4"/>
  <c r="J235" i="5"/>
  <c r="F235" i="5"/>
  <c r="G235" i="5"/>
  <c r="H235" i="5"/>
  <c r="I235" i="5"/>
  <c r="E236" i="5"/>
  <c r="L234" i="5"/>
  <c r="M234" i="5"/>
  <c r="H416" i="4" l="1"/>
  <c r="B416" i="4"/>
  <c r="A417" i="4"/>
  <c r="F415" i="4"/>
  <c r="C415" i="4"/>
  <c r="E415" i="4" s="1"/>
  <c r="D415" i="4" s="1"/>
  <c r="I415" i="4"/>
  <c r="K415" i="4" s="1"/>
  <c r="J415" i="4"/>
  <c r="M415" i="4"/>
  <c r="E237" i="5"/>
  <c r="L235" i="5"/>
  <c r="M235" i="5"/>
  <c r="I236" i="5"/>
  <c r="J236" i="5"/>
  <c r="F236" i="5"/>
  <c r="G236" i="5"/>
  <c r="H236" i="5"/>
  <c r="B417" i="4" l="1"/>
  <c r="H417" i="4"/>
  <c r="A418" i="4"/>
  <c r="F416" i="4"/>
  <c r="C416" i="4"/>
  <c r="E416" i="4" s="1"/>
  <c r="D416" i="4" s="1"/>
  <c r="J416" i="4"/>
  <c r="I416" i="4"/>
  <c r="K416" i="4" s="1"/>
  <c r="M416" i="4"/>
  <c r="H237" i="5"/>
  <c r="I237" i="5"/>
  <c r="J237" i="5"/>
  <c r="F237" i="5"/>
  <c r="G237" i="5"/>
  <c r="E238" i="5"/>
  <c r="L236" i="5"/>
  <c r="M236" i="5"/>
  <c r="H418" i="4" l="1"/>
  <c r="A419" i="4"/>
  <c r="B418" i="4"/>
  <c r="J417" i="4"/>
  <c r="M417" i="4"/>
  <c r="I417" i="4"/>
  <c r="K417" i="4" s="1"/>
  <c r="F417" i="4"/>
  <c r="C417" i="4"/>
  <c r="E417" i="4" s="1"/>
  <c r="D417" i="4" s="1"/>
  <c r="E239" i="5"/>
  <c r="J238" i="5"/>
  <c r="F238" i="5"/>
  <c r="G238" i="5"/>
  <c r="H238" i="5"/>
  <c r="I238" i="5"/>
  <c r="M237" i="5"/>
  <c r="N237" i="5" s="1"/>
  <c r="L237" i="5"/>
  <c r="C418" i="4" l="1"/>
  <c r="E418" i="4" s="1"/>
  <c r="D418" i="4" s="1"/>
  <c r="F418" i="4"/>
  <c r="B419" i="4"/>
  <c r="A420" i="4"/>
  <c r="H419" i="4"/>
  <c r="J418" i="4"/>
  <c r="I418" i="4"/>
  <c r="K418" i="4" s="1"/>
  <c r="M418" i="4"/>
  <c r="I239" i="5"/>
  <c r="J239" i="5"/>
  <c r="F239" i="5"/>
  <c r="G239" i="5"/>
  <c r="H239" i="5"/>
  <c r="E240" i="5"/>
  <c r="L238" i="5"/>
  <c r="M238" i="5"/>
  <c r="M419" i="4" l="1"/>
  <c r="I419" i="4"/>
  <c r="K419" i="4" s="1"/>
  <c r="J419" i="4"/>
  <c r="A421" i="4"/>
  <c r="H420" i="4"/>
  <c r="B420" i="4"/>
  <c r="C419" i="4"/>
  <c r="E419" i="4" s="1"/>
  <c r="D419" i="4" s="1"/>
  <c r="F419" i="4"/>
  <c r="E241" i="5"/>
  <c r="H240" i="5"/>
  <c r="I240" i="5"/>
  <c r="J240" i="5"/>
  <c r="F240" i="5"/>
  <c r="G240" i="5"/>
  <c r="L239" i="5"/>
  <c r="M239" i="5"/>
  <c r="C420" i="4" l="1"/>
  <c r="E420" i="4" s="1"/>
  <c r="D420" i="4" s="1"/>
  <c r="F420" i="4"/>
  <c r="J420" i="4"/>
  <c r="M420" i="4"/>
  <c r="I420" i="4"/>
  <c r="K420" i="4" s="1"/>
  <c r="A422" i="4"/>
  <c r="H421" i="4"/>
  <c r="B421" i="4"/>
  <c r="M240" i="5"/>
  <c r="L240" i="5"/>
  <c r="E242" i="5"/>
  <c r="G241" i="5"/>
  <c r="H241" i="5"/>
  <c r="I241" i="5"/>
  <c r="F241" i="5"/>
  <c r="J241" i="5"/>
  <c r="C421" i="4" l="1"/>
  <c r="E421" i="4" s="1"/>
  <c r="D421" i="4" s="1"/>
  <c r="F421" i="4"/>
  <c r="M421" i="4"/>
  <c r="J421" i="4"/>
  <c r="I421" i="4"/>
  <c r="K421" i="4" s="1"/>
  <c r="H422" i="4"/>
  <c r="B422" i="4"/>
  <c r="A423" i="4"/>
  <c r="E243" i="5"/>
  <c r="L241" i="5"/>
  <c r="M241" i="5"/>
  <c r="J242" i="5"/>
  <c r="F242" i="5"/>
  <c r="G242" i="5"/>
  <c r="H242" i="5"/>
  <c r="I242" i="5"/>
  <c r="B423" i="4" l="1"/>
  <c r="A424" i="4"/>
  <c r="H423" i="4"/>
  <c r="C422" i="4"/>
  <c r="E422" i="4" s="1"/>
  <c r="D422" i="4" s="1"/>
  <c r="F422" i="4"/>
  <c r="M422" i="4"/>
  <c r="I422" i="4"/>
  <c r="K422" i="4" s="1"/>
  <c r="J422" i="4"/>
  <c r="H243" i="5"/>
  <c r="I243" i="5"/>
  <c r="J243" i="5"/>
  <c r="F243" i="5"/>
  <c r="G243" i="5"/>
  <c r="E244" i="5"/>
  <c r="L242" i="5"/>
  <c r="M242" i="5"/>
  <c r="N242" i="5" s="1"/>
  <c r="M423" i="4" l="1"/>
  <c r="J423" i="4"/>
  <c r="I423" i="4"/>
  <c r="K423" i="4" s="1"/>
  <c r="B424" i="4"/>
  <c r="A425" i="4"/>
  <c r="H424" i="4"/>
  <c r="C423" i="4"/>
  <c r="E423" i="4" s="1"/>
  <c r="D423" i="4" s="1"/>
  <c r="F423" i="4"/>
  <c r="E245" i="5"/>
  <c r="G244" i="5"/>
  <c r="H244" i="5"/>
  <c r="I244" i="5"/>
  <c r="F244" i="5"/>
  <c r="J244" i="5"/>
  <c r="M243" i="5"/>
  <c r="L243" i="5"/>
  <c r="C424" i="4" l="1"/>
  <c r="E424" i="4" s="1"/>
  <c r="D424" i="4" s="1"/>
  <c r="F424" i="4"/>
  <c r="M424" i="4"/>
  <c r="J424" i="4"/>
  <c r="I424" i="4"/>
  <c r="K424" i="4" s="1"/>
  <c r="B425" i="4"/>
  <c r="A426" i="4"/>
  <c r="H425" i="4"/>
  <c r="E247" i="5"/>
  <c r="E246" i="5"/>
  <c r="L244" i="5"/>
  <c r="M244" i="5"/>
  <c r="J245" i="5"/>
  <c r="F245" i="5"/>
  <c r="G245" i="5"/>
  <c r="H245" i="5"/>
  <c r="I245" i="5"/>
  <c r="J425" i="4" l="1"/>
  <c r="M425" i="4"/>
  <c r="I425" i="4"/>
  <c r="K425" i="4" s="1"/>
  <c r="B426" i="4"/>
  <c r="H426" i="4"/>
  <c r="A427" i="4"/>
  <c r="C425" i="4"/>
  <c r="E425" i="4" s="1"/>
  <c r="D425" i="4" s="1"/>
  <c r="F425" i="4"/>
  <c r="L245" i="5"/>
  <c r="M245" i="5"/>
  <c r="H247" i="5"/>
  <c r="I247" i="5"/>
  <c r="J247" i="5"/>
  <c r="F247" i="5"/>
  <c r="G247" i="5"/>
  <c r="I246" i="5"/>
  <c r="J246" i="5"/>
  <c r="F246" i="5"/>
  <c r="G246" i="5"/>
  <c r="H246" i="5"/>
  <c r="M426" i="4" l="1"/>
  <c r="J426" i="4"/>
  <c r="I426" i="4"/>
  <c r="K426" i="4" s="1"/>
  <c r="H427" i="4"/>
  <c r="A428" i="4"/>
  <c r="B427" i="4"/>
  <c r="C426" i="4"/>
  <c r="E426" i="4" s="1"/>
  <c r="D426" i="4" s="1"/>
  <c r="F426" i="4"/>
  <c r="L246" i="5"/>
  <c r="M246" i="5"/>
  <c r="M247" i="5" s="1"/>
  <c r="N247" i="5" s="1"/>
  <c r="L247" i="5"/>
  <c r="B428" i="4" l="1"/>
  <c r="H428" i="4"/>
  <c r="A429" i="4"/>
  <c r="C427" i="4"/>
  <c r="E427" i="4" s="1"/>
  <c r="D427" i="4" s="1"/>
  <c r="F427" i="4"/>
  <c r="M427" i="4"/>
  <c r="I427" i="4"/>
  <c r="K427" i="4" s="1"/>
  <c r="J427" i="4"/>
  <c r="H429" i="4" l="1"/>
  <c r="A430" i="4"/>
  <c r="B429" i="4"/>
  <c r="I428" i="4"/>
  <c r="K428" i="4" s="1"/>
  <c r="J428" i="4"/>
  <c r="M428" i="4"/>
  <c r="C428" i="4"/>
  <c r="E428" i="4" s="1"/>
  <c r="D428" i="4" s="1"/>
  <c r="F428" i="4"/>
  <c r="F429" i="4" l="1"/>
  <c r="C429" i="4"/>
  <c r="E429" i="4" s="1"/>
  <c r="D429" i="4" s="1"/>
  <c r="B430" i="4"/>
  <c r="H430" i="4"/>
  <c r="J429" i="4"/>
  <c r="I429" i="4"/>
  <c r="K429" i="4" s="1"/>
  <c r="M429" i="4"/>
  <c r="J430" i="4" l="1"/>
  <c r="I430" i="4"/>
  <c r="K430" i="4" s="1"/>
  <c r="M430" i="4"/>
  <c r="C430" i="4"/>
  <c r="E430" i="4" s="1"/>
  <c r="D430" i="4" s="1"/>
  <c r="F430" i="4"/>
</calcChain>
</file>

<file path=xl/sharedStrings.xml><?xml version="1.0" encoding="utf-8"?>
<sst xmlns="http://schemas.openxmlformats.org/spreadsheetml/2006/main" count="641" uniqueCount="155">
  <si>
    <t>Close</t>
  </si>
  <si>
    <t>M</t>
  </si>
  <si>
    <t>R</t>
  </si>
  <si>
    <t>B</t>
  </si>
  <si>
    <t xml:space="preserve">Result </t>
  </si>
  <si>
    <t>Bias</t>
  </si>
  <si>
    <t>TREND</t>
  </si>
  <si>
    <t xml:space="preserve">Notes </t>
  </si>
  <si>
    <t>Month</t>
  </si>
  <si>
    <t>DEEP</t>
  </si>
  <si>
    <t xml:space="preserve">Check top of each hour </t>
  </si>
  <si>
    <t>Week</t>
  </si>
  <si>
    <t>When ready monitor 15min</t>
  </si>
  <si>
    <t>Day</t>
  </si>
  <si>
    <t>DD</t>
  </si>
  <si>
    <t xml:space="preserve">Enter 5 min </t>
  </si>
  <si>
    <t>4hr</t>
  </si>
  <si>
    <t>Trade A&amp;B set ups or Scalp Now</t>
  </si>
  <si>
    <t>1hr</t>
  </si>
  <si>
    <t>Now</t>
  </si>
  <si>
    <t xml:space="preserve">Enter trade when NOW confirms </t>
  </si>
  <si>
    <t>15min</t>
  </si>
  <si>
    <t>Trend</t>
  </si>
  <si>
    <t>5min</t>
  </si>
  <si>
    <t xml:space="preserve">Ready </t>
  </si>
  <si>
    <t>Use Deep &amp; DD as zone RSI</t>
  </si>
  <si>
    <t xml:space="preserve">UP = 1 DOWN = -1 NEUTRAL = 0 </t>
  </si>
  <si>
    <t>Target</t>
  </si>
  <si>
    <t xml:space="preserve">Use 5min &amp; 15m RSI as a trigger direction </t>
  </si>
  <si>
    <t>ASSET</t>
  </si>
  <si>
    <t>NOW</t>
  </si>
  <si>
    <t>STATUS</t>
  </si>
  <si>
    <t>Grade</t>
  </si>
  <si>
    <t xml:space="preserve">Trade </t>
  </si>
  <si>
    <t>POS</t>
  </si>
  <si>
    <t>NEG</t>
  </si>
  <si>
    <t>AJ</t>
  </si>
  <si>
    <t>NEUTRAL</t>
  </si>
  <si>
    <t>BUY</t>
  </si>
  <si>
    <t>Anchor</t>
  </si>
  <si>
    <t xml:space="preserve">scalp for 10 pips </t>
  </si>
  <si>
    <t>GJ</t>
  </si>
  <si>
    <t>?</t>
  </si>
  <si>
    <t>MONITOR</t>
  </si>
  <si>
    <t>D</t>
  </si>
  <si>
    <t>NJ</t>
  </si>
  <si>
    <t>SELL</t>
  </si>
  <si>
    <t>AUDNZD</t>
  </si>
  <si>
    <t>Wait</t>
  </si>
  <si>
    <t>15m</t>
  </si>
  <si>
    <t>AU200</t>
  </si>
  <si>
    <t>Total</t>
  </si>
  <si>
    <t>EJ</t>
  </si>
  <si>
    <t>UJ</t>
  </si>
  <si>
    <t>JPN225</t>
  </si>
  <si>
    <t>UK100</t>
  </si>
  <si>
    <t>HK50</t>
  </si>
  <si>
    <t xml:space="preserve">currency </t>
  </si>
  <si>
    <t>Daily ATR</t>
  </si>
  <si>
    <t>Session ATR</t>
  </si>
  <si>
    <t>Target ATR</t>
  </si>
  <si>
    <t>AUDUSD</t>
  </si>
  <si>
    <t>NZDUSD</t>
  </si>
  <si>
    <t>AUDJPY</t>
  </si>
  <si>
    <t>CADJPY</t>
  </si>
  <si>
    <t>EURJPY</t>
  </si>
  <si>
    <t>GBPJPY</t>
  </si>
  <si>
    <t>NZDJPY</t>
  </si>
  <si>
    <t>USDJPY</t>
  </si>
  <si>
    <t>Nikkei</t>
  </si>
  <si>
    <t>PIPS</t>
  </si>
  <si>
    <t>P&amp;L</t>
  </si>
  <si>
    <t>Size</t>
  </si>
  <si>
    <t xml:space="preserve">Fill in blue </t>
  </si>
  <si>
    <t xml:space="preserve">Copy row 2 from the Madness colums </t>
  </si>
  <si>
    <t xml:space="preserve">enter Trade level in blue box </t>
  </si>
  <si>
    <t xml:space="preserve">Normal Trader </t>
  </si>
  <si>
    <t>Scruffy Madness</t>
  </si>
  <si>
    <t xml:space="preserve">Total </t>
  </si>
  <si>
    <t>Min</t>
  </si>
  <si>
    <t>Bid</t>
  </si>
  <si>
    <t xml:space="preserve">Stop </t>
  </si>
  <si>
    <t>R:R</t>
  </si>
  <si>
    <t>Risk</t>
  </si>
  <si>
    <t xml:space="preserve">Target </t>
  </si>
  <si>
    <t>Profit</t>
  </si>
  <si>
    <t>Invest</t>
  </si>
  <si>
    <t>Break Even = 0</t>
  </si>
  <si>
    <t>Split</t>
  </si>
  <si>
    <t>Step</t>
  </si>
  <si>
    <t>B/Even</t>
  </si>
  <si>
    <t>Current</t>
  </si>
  <si>
    <t>Trade</t>
  </si>
  <si>
    <t xml:space="preserve">Decreasing </t>
  </si>
  <si>
    <t>Increasing</t>
  </si>
  <si>
    <t>Max</t>
  </si>
  <si>
    <t>Long</t>
  </si>
  <si>
    <t>Short</t>
  </si>
  <si>
    <t>Win</t>
  </si>
  <si>
    <t>Lose</t>
  </si>
  <si>
    <t>Stop</t>
  </si>
  <si>
    <t>Level</t>
  </si>
  <si>
    <t>BASED ON POINT OF ENTRY</t>
  </si>
  <si>
    <t xml:space="preserve">Enter Yellow values </t>
  </si>
  <si>
    <t>%</t>
  </si>
  <si>
    <t>£</t>
  </si>
  <si>
    <t xml:space="preserve">Trading </t>
  </si>
  <si>
    <t xml:space="preserve">Max </t>
  </si>
  <si>
    <t>ACCOUNT SIZE</t>
  </si>
  <si>
    <t>Allowance</t>
  </si>
  <si>
    <t>Days</t>
  </si>
  <si>
    <t>Investment</t>
  </si>
  <si>
    <t>MONDAY</t>
  </si>
  <si>
    <t>TUESDAY</t>
  </si>
  <si>
    <t>WEDNESDAY</t>
  </si>
  <si>
    <t>THURSDAY</t>
  </si>
  <si>
    <t>FRIDAY</t>
  </si>
  <si>
    <t>Planned Trades</t>
  </si>
  <si>
    <t>Planned Risk</t>
  </si>
  <si>
    <t>Trading Size</t>
  </si>
  <si>
    <t>Week Ave</t>
  </si>
  <si>
    <t>MAX Stop</t>
  </si>
  <si>
    <t>Trades Taken</t>
  </si>
  <si>
    <t>Total Risk</t>
  </si>
  <si>
    <t>Min Target</t>
  </si>
  <si>
    <t>Based on a 48 working weeks to include loss and Hols</t>
  </si>
  <si>
    <t>GOAL--&gt;</t>
  </si>
  <si>
    <t>Daily Wage</t>
  </si>
  <si>
    <t>Weekly Wage</t>
  </si>
  <si>
    <t>Monthly wage</t>
  </si>
  <si>
    <t>Yearly Wage</t>
  </si>
  <si>
    <t>Trades</t>
  </si>
  <si>
    <t>Ave win</t>
  </si>
  <si>
    <t>1 Trade</t>
  </si>
  <si>
    <t>Pips</t>
  </si>
  <si>
    <t>Per</t>
  </si>
  <si>
    <t>day</t>
  </si>
  <si>
    <t>week</t>
  </si>
  <si>
    <t>year</t>
  </si>
  <si>
    <t>Days to</t>
  </si>
  <si>
    <t xml:space="preserve">Needed </t>
  </si>
  <si>
    <t>GOAL</t>
  </si>
  <si>
    <t>Trades Open</t>
  </si>
  <si>
    <t>&lt;-Pips</t>
  </si>
  <si>
    <t>Notes</t>
  </si>
  <si>
    <t>Weeks</t>
  </si>
  <si>
    <t>Split Bid</t>
  </si>
  <si>
    <t>&lt;-Postions</t>
  </si>
  <si>
    <t>Balance</t>
  </si>
  <si>
    <t>In B2 set amount of open postions , only have a pip value for open trades in cells F G H , in cell D1 starting bid &amp; % increase cell E1</t>
  </si>
  <si>
    <t>Mon</t>
  </si>
  <si>
    <t>Tue</t>
  </si>
  <si>
    <t>Wed</t>
  </si>
  <si>
    <t>Thur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</si>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</sst>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&quot;£&quot;#,##0;[Red]\-&quot;£&quot;#,##0"/>
    <numFmt numFmtId="165" formatCode="&quot;£&quot;#,##0.00;[Red]\-&quot;£&quot;#,##0.00"/>
    <numFmt numFmtId="166" formatCode="0.0"/>
    <numFmt numFmtId="167" formatCode="&quot;£&quot;#,##0.00"/>
    <numFmt numFmtId="168" formatCode="dd/mm/yy;@"/>
    <numFmt numFmtId="169" formatCode="d/m/yy;@"/>
  </numFmts>
  <fonts count="17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rgb="FFFFFF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7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4" fillId="10" borderId="18" applyNumberFormat="0" applyFont="0" applyAlignment="0" applyProtection="0"/>
  </cellStyleXfs>
  <cellXfs count="16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9" fontId="0" fillId="0" borderId="0" xfId="0" applyNumberFormat="1" applyAlignment="1">
      <alignment horizontal="center"/>
    </xf>
    <xf numFmtId="1" fontId="1" fillId="5" borderId="0" xfId="0" applyNumberFormat="1" applyFont="1" applyFill="1" applyAlignment="1">
      <alignment horizontal="center"/>
    </xf>
    <xf numFmtId="167" fontId="1" fillId="3" borderId="0" xfId="0" applyNumberFormat="1" applyFont="1" applyFill="1" applyAlignment="1">
      <alignment horizontal="center"/>
    </xf>
    <xf numFmtId="0" fontId="0" fillId="0" borderId="0" xfId="0" applyAlignment="1">
      <alignment horizontal="left" wrapText="1"/>
    </xf>
    <xf numFmtId="1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" fontId="1" fillId="3" borderId="0" xfId="0" applyNumberFormat="1" applyFont="1" applyFill="1" applyAlignment="1">
      <alignment horizontal="center"/>
    </xf>
    <xf numFmtId="168" fontId="1" fillId="3" borderId="0" xfId="0" applyNumberFormat="1" applyFont="1" applyFill="1" applyAlignment="1">
      <alignment horizontal="center"/>
    </xf>
    <xf numFmtId="166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6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67" fontId="7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7" fontId="7" fillId="8" borderId="0" xfId="0" applyNumberFormat="1" applyFont="1" applyFill="1" applyAlignment="1">
      <alignment horizontal="center"/>
    </xf>
    <xf numFmtId="1" fontId="7" fillId="8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166" fontId="7" fillId="8" borderId="0" xfId="0" applyNumberFormat="1" applyFont="1" applyFill="1" applyAlignment="1">
      <alignment horizontal="center"/>
    </xf>
    <xf numFmtId="1" fontId="7" fillId="4" borderId="0" xfId="0" applyNumberFormat="1" applyFont="1" applyFill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0" fillId="2" borderId="10" xfId="0" applyFill="1" applyBorder="1"/>
    <xf numFmtId="167" fontId="0" fillId="0" borderId="0" xfId="0" applyNumberFormat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7" fontId="9" fillId="4" borderId="0" xfId="0" applyNumberFormat="1" applyFont="1" applyFill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3" borderId="0" xfId="0" applyNumberFormat="1" applyFont="1" applyFill="1" applyAlignment="1">
      <alignment horizontal="center"/>
    </xf>
    <xf numFmtId="167" fontId="9" fillId="2" borderId="0" xfId="0" applyNumberFormat="1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67" fontId="9" fillId="0" borderId="0" xfId="0" applyNumberFormat="1" applyFont="1" applyAlignment="1">
      <alignment horizontal="left"/>
    </xf>
    <xf numFmtId="167" fontId="9" fillId="2" borderId="11" xfId="0" applyNumberFormat="1" applyFont="1" applyFill="1" applyBorder="1" applyAlignment="1">
      <alignment horizontal="center"/>
    </xf>
    <xf numFmtId="167" fontId="9" fillId="3" borderId="0" xfId="0" applyNumberFormat="1" applyFont="1" applyFill="1" applyAlignment="1">
      <alignment horizontal="left"/>
    </xf>
    <xf numFmtId="2" fontId="9" fillId="2" borderId="11" xfId="0" applyNumberFormat="1" applyFont="1" applyFill="1" applyBorder="1" applyAlignment="1">
      <alignment horizontal="center"/>
    </xf>
    <xf numFmtId="167" fontId="9" fillId="4" borderId="11" xfId="0" applyNumberFormat="1" applyFont="1" applyFill="1" applyBorder="1" applyAlignment="1">
      <alignment horizontal="center"/>
    </xf>
    <xf numFmtId="1" fontId="9" fillId="2" borderId="11" xfId="0" applyNumberFormat="1" applyFont="1" applyFill="1" applyBorder="1" applyAlignment="1">
      <alignment horizontal="center"/>
    </xf>
    <xf numFmtId="167" fontId="9" fillId="3" borderId="11" xfId="0" applyNumberFormat="1" applyFont="1" applyFill="1" applyBorder="1" applyAlignment="1">
      <alignment horizontal="center"/>
    </xf>
    <xf numFmtId="167" fontId="9" fillId="3" borderId="12" xfId="0" applyNumberFormat="1" applyFont="1" applyFill="1" applyBorder="1" applyAlignment="1">
      <alignment horizontal="center"/>
    </xf>
    <xf numFmtId="167" fontId="9" fillId="3" borderId="11" xfId="0" applyNumberFormat="1" applyFont="1" applyFill="1" applyBorder="1" applyAlignment="1">
      <alignment horizontal="left"/>
    </xf>
    <xf numFmtId="3" fontId="9" fillId="4" borderId="11" xfId="0" applyNumberFormat="1" applyFont="1" applyFill="1" applyBorder="1" applyAlignment="1">
      <alignment horizontal="center"/>
    </xf>
    <xf numFmtId="3" fontId="9" fillId="2" borderId="11" xfId="0" applyNumberFormat="1" applyFont="1" applyFill="1" applyBorder="1" applyAlignment="1">
      <alignment horizontal="center"/>
    </xf>
    <xf numFmtId="167" fontId="9" fillId="4" borderId="0" xfId="0" applyNumberFormat="1" applyFont="1" applyFill="1"/>
    <xf numFmtId="167" fontId="9" fillId="4" borderId="1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0" fillId="7" borderId="0" xfId="0" applyFill="1"/>
    <xf numFmtId="0" fontId="0" fillId="7" borderId="4" xfId="0" applyFill="1" applyBorder="1"/>
    <xf numFmtId="0" fontId="0" fillId="3" borderId="8" xfId="0" applyFill="1" applyBorder="1"/>
    <xf numFmtId="0" fontId="0" fillId="3" borderId="9" xfId="0" applyFill="1" applyBorder="1"/>
    <xf numFmtId="0" fontId="8" fillId="2" borderId="0" xfId="0" applyFont="1" applyFill="1"/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2" fillId="0" borderId="0" xfId="0" applyFont="1"/>
    <xf numFmtId="0" fontId="2" fillId="2" borderId="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8" fillId="9" borderId="9" xfId="0" applyFont="1" applyFill="1" applyBorder="1"/>
    <xf numFmtId="0" fontId="10" fillId="2" borderId="2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9" borderId="15" xfId="0" applyFill="1" applyBorder="1"/>
    <xf numFmtId="0" fontId="0" fillId="9" borderId="0" xfId="0" applyFill="1"/>
    <xf numFmtId="0" fontId="2" fillId="2" borderId="6" xfId="0" applyFont="1" applyFill="1" applyBorder="1" applyAlignment="1">
      <alignment horizontal="center"/>
    </xf>
    <xf numFmtId="0" fontId="13" fillId="2" borderId="0" xfId="0" applyFont="1" applyFill="1"/>
    <xf numFmtId="0" fontId="10" fillId="2" borderId="0" xfId="0" applyFont="1" applyFill="1"/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44" fontId="1" fillId="3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44" fontId="1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3" fillId="3" borderId="0" xfId="0" applyNumberFormat="1" applyFont="1" applyFill="1" applyAlignment="1">
      <alignment horizontal="center"/>
    </xf>
    <xf numFmtId="44" fontId="4" fillId="0" borderId="0" xfId="0" applyNumberFormat="1" applyFont="1" applyAlignment="1">
      <alignment horizontal="center"/>
    </xf>
    <xf numFmtId="44" fontId="3" fillId="4" borderId="0" xfId="0" applyNumberFormat="1" applyFont="1" applyFill="1" applyAlignment="1">
      <alignment horizontal="center"/>
    </xf>
    <xf numFmtId="44" fontId="3" fillId="6" borderId="0" xfId="0" applyNumberFormat="1" applyFont="1" applyFill="1" applyAlignment="1">
      <alignment horizontal="center"/>
    </xf>
    <xf numFmtId="44" fontId="3" fillId="2" borderId="2" xfId="0" applyNumberFormat="1" applyFont="1" applyFill="1" applyBorder="1" applyAlignment="1">
      <alignment horizontal="center"/>
    </xf>
    <xf numFmtId="44" fontId="9" fillId="2" borderId="11" xfId="0" applyNumberFormat="1" applyFont="1" applyFill="1" applyBorder="1" applyAlignment="1">
      <alignment horizontal="center"/>
    </xf>
    <xf numFmtId="44" fontId="9" fillId="4" borderId="11" xfId="0" applyNumberFormat="1" applyFont="1" applyFill="1" applyBorder="1" applyAlignment="1">
      <alignment horizontal="center"/>
    </xf>
    <xf numFmtId="44" fontId="9" fillId="3" borderId="0" xfId="0" applyNumberFormat="1" applyFont="1" applyFill="1" applyAlignment="1">
      <alignment horizontal="center"/>
    </xf>
    <xf numFmtId="44" fontId="9" fillId="2" borderId="0" xfId="0" applyNumberFormat="1" applyFont="1" applyFill="1" applyAlignment="1">
      <alignment horizontal="center"/>
    </xf>
    <xf numFmtId="44" fontId="9" fillId="2" borderId="12" xfId="0" applyNumberFormat="1" applyFont="1" applyFill="1" applyBorder="1" applyAlignment="1">
      <alignment horizontal="center"/>
    </xf>
    <xf numFmtId="0" fontId="5" fillId="3" borderId="7" xfId="0" applyFont="1" applyFill="1" applyBorder="1"/>
    <xf numFmtId="0" fontId="10" fillId="3" borderId="8" xfId="0" applyFont="1" applyFill="1" applyBorder="1"/>
    <xf numFmtId="0" fontId="10" fillId="3" borderId="17" xfId="0" applyFont="1" applyFill="1" applyBorder="1" applyAlignment="1">
      <alignment horizontal="center"/>
    </xf>
    <xf numFmtId="1" fontId="10" fillId="3" borderId="17" xfId="0" applyNumberFormat="1" applyFont="1" applyFill="1" applyBorder="1" applyAlignment="1">
      <alignment horizontal="center"/>
    </xf>
    <xf numFmtId="0" fontId="10" fillId="2" borderId="17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3" fillId="7" borderId="1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center"/>
    </xf>
    <xf numFmtId="0" fontId="12" fillId="4" borderId="0" xfId="0" applyFont="1" applyFill="1"/>
    <xf numFmtId="0" fontId="16" fillId="0" borderId="0" xfId="0" applyFont="1"/>
    <xf numFmtId="2" fontId="0" fillId="0" borderId="0" xfId="0" applyNumberFormat="1"/>
    <xf numFmtId="0" fontId="15" fillId="0" borderId="0" xfId="0" applyFont="1"/>
    <xf numFmtId="0" fontId="3" fillId="10" borderId="18" xfId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7" fontId="9" fillId="4" borderId="0" xfId="0" applyNumberFormat="1" applyFont="1" applyFill="1" applyAlignment="1">
      <alignment horizontal="left"/>
    </xf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right"/>
    </xf>
    <xf numFmtId="44" fontId="3" fillId="2" borderId="6" xfId="0" applyNumberFormat="1" applyFont="1" applyFill="1" applyBorder="1" applyAlignment="1">
      <alignment horizontal="center"/>
    </xf>
    <xf numFmtId="44" fontId="3" fillId="2" borderId="0" xfId="0" applyNumberFormat="1" applyFont="1" applyFill="1" applyAlignment="1">
      <alignment horizontal="center"/>
    </xf>
  </cellXfs>
  <cellStyles count="2">
    <cellStyle name="Normal" xfId="0" builtinId="0"/>
    <cellStyle name="Note" xfId="1" builtinId="10"/>
  </cellStyles>
  <dxfs count="301"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 tint="0.14996795556505021"/>
      </font>
      <fill>
        <patternFill patternType="solid">
          <bgColor rgb="FF00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</dxfs>
  <tableStyles count="0" defaultTableStyle="TableStyleMedium9" defaultPivotStyle="PivotStyleLight16"/>
  <colors>
    <mruColors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A597-80CC-461F-BDB7-668C910AD588}">
  <dimension ref="A1:AC28"/>
  <sheetViews>
    <sheetView tabSelected="1" workbookViewId="0">
      <selection activeCell="I10" sqref="I10"/>
    </sheetView>
  </sheetViews>
  <sheetFormatPr defaultRowHeight="15"/>
  <cols>
    <col min="5" max="6" width="14.5703125" bestFit="1" customWidth="1"/>
    <col min="7" max="7" width="13.7109375" bestFit="1" customWidth="1"/>
    <col min="8" max="8" width="11.42578125" bestFit="1" customWidth="1"/>
    <col min="9" max="9" width="12.140625" customWidth="1"/>
    <col min="10" max="10" width="14.28515625" bestFit="1" customWidth="1"/>
    <col min="11" max="11" width="16" bestFit="1" customWidth="1"/>
    <col min="12" max="12" width="11.42578125" bestFit="1" customWidth="1"/>
    <col min="15" max="15" width="3.42578125" customWidth="1"/>
    <col min="16" max="16" width="16" bestFit="1" customWidth="1"/>
    <col min="17" max="17" width="16.7109375" customWidth="1"/>
    <col min="22" max="22" width="26.7109375" customWidth="1"/>
  </cols>
  <sheetData>
    <row r="1" spans="1:29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</row>
    <row r="2" spans="1:29" ht="15.75" thickBo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</row>
    <row r="3" spans="1:29" ht="31.5">
      <c r="A3" s="106"/>
      <c r="B3" s="106"/>
      <c r="C3" s="106"/>
      <c r="D3" s="106"/>
      <c r="E3" s="127"/>
      <c r="F3" s="128" t="s">
        <v>0</v>
      </c>
      <c r="G3" s="129" t="s">
        <v>1</v>
      </c>
      <c r="H3" s="130" t="s">
        <v>2</v>
      </c>
      <c r="I3" s="129" t="s">
        <v>3</v>
      </c>
      <c r="J3" s="103" t="s">
        <v>4</v>
      </c>
      <c r="K3" s="103" t="s">
        <v>5</v>
      </c>
      <c r="L3" s="89"/>
      <c r="M3" s="148" t="s">
        <v>6</v>
      </c>
      <c r="N3" s="148"/>
      <c r="O3" s="89"/>
      <c r="P3" s="89"/>
      <c r="Q3" s="90"/>
      <c r="R3" s="149" t="s">
        <v>7</v>
      </c>
      <c r="S3" s="150"/>
      <c r="T3" s="150"/>
      <c r="U3" s="150"/>
      <c r="V3" s="150"/>
      <c r="W3" s="106"/>
      <c r="X3" s="106"/>
      <c r="Y3" s="106"/>
      <c r="Z3" s="106"/>
      <c r="AA3" s="106"/>
      <c r="AB3" s="106"/>
      <c r="AC3" s="106"/>
    </row>
    <row r="4" spans="1:29" ht="31.5">
      <c r="A4" s="106"/>
      <c r="B4" s="106"/>
      <c r="C4" s="106"/>
      <c r="D4" s="106"/>
      <c r="E4" s="131" t="s">
        <v>8</v>
      </c>
      <c r="F4" s="132">
        <v>1</v>
      </c>
      <c r="G4" s="132">
        <v>0</v>
      </c>
      <c r="H4" s="133">
        <v>0</v>
      </c>
      <c r="I4" s="134">
        <v>1</v>
      </c>
      <c r="J4" s="10">
        <f>IFERROR(MODE(F4:I4),"")</f>
        <v>1</v>
      </c>
      <c r="K4" s="96" t="str">
        <f>IF(G4="","",IF(J4=1,"BUY",IF(J4=-1,"SELL",IF(J4=0,"Neutral","?"))))</f>
        <v>BUY</v>
      </c>
      <c r="L4" s="87"/>
      <c r="M4" s="151" t="s">
        <v>9</v>
      </c>
      <c r="N4" s="152"/>
      <c r="O4" s="97">
        <f>IFERROR(MODE(J4:J6),"")</f>
        <v>0</v>
      </c>
      <c r="P4" s="98" t="str">
        <f>IF(G4="","",IF(O4=1,"BUY",IF(O4=-1,"SELL",IF(O4=0,"Neutral","?"))))</f>
        <v>Neutral</v>
      </c>
      <c r="Q4" s="95" t="str">
        <f>IF(O4="","",IF(K6="BUY",IF(AND(K5="BUY",K4="BUY"),"STRONG",IF(OR(K5="BUY",K4="BUY"),"MEDIUM","WEAK")),IF(K6="SELL",IF(AND(K5="SELL",K4="SELL"),"STRONG",IF(OR(K5="SELL",K4="SELL"),"MEDIUM","WEAK")),"WEAK")))</f>
        <v>WEAK</v>
      </c>
      <c r="R4" s="107">
        <v>1</v>
      </c>
      <c r="S4" s="108" t="s">
        <v>10</v>
      </c>
      <c r="T4" s="109"/>
      <c r="U4" s="109"/>
      <c r="V4" s="109"/>
      <c r="W4" s="106"/>
      <c r="X4" s="106"/>
      <c r="Y4" s="106"/>
      <c r="Z4" s="106"/>
      <c r="AA4" s="106"/>
      <c r="AB4" s="106"/>
      <c r="AC4" s="106"/>
    </row>
    <row r="5" spans="1:29" ht="31.5">
      <c r="A5" s="106"/>
      <c r="B5" s="106"/>
      <c r="C5" s="106"/>
      <c r="D5" s="106"/>
      <c r="E5" s="135" t="s">
        <v>11</v>
      </c>
      <c r="F5" s="132">
        <v>1</v>
      </c>
      <c r="G5" s="132">
        <v>-1</v>
      </c>
      <c r="H5" s="133">
        <v>0</v>
      </c>
      <c r="I5" s="134">
        <v>0</v>
      </c>
      <c r="J5" s="10">
        <f t="shared" ref="J5:J10" si="0">IFERROR(MODE(F5:I5),"")</f>
        <v>0</v>
      </c>
      <c r="K5" s="99" t="str">
        <f t="shared" ref="K5:K10" si="1">IF(G5="","",IF(J5=1,"BUY",IF(J5=-1,"SELL",IF(J5=0,"Neutral","?"))))</f>
        <v>Neutral</v>
      </c>
      <c r="L5" s="87"/>
      <c r="M5" s="104"/>
      <c r="N5" s="2"/>
      <c r="O5" s="91"/>
      <c r="P5" s="2"/>
      <c r="Q5" s="65"/>
      <c r="R5" s="107">
        <v>2</v>
      </c>
      <c r="S5" s="108" t="s">
        <v>12</v>
      </c>
      <c r="T5" s="109"/>
      <c r="U5" s="109"/>
      <c r="V5" s="109"/>
      <c r="W5" s="106"/>
      <c r="X5" s="106"/>
      <c r="Y5" s="106"/>
      <c r="Z5" s="106"/>
      <c r="AA5" s="106"/>
      <c r="AB5" s="106"/>
      <c r="AC5" s="106"/>
    </row>
    <row r="6" spans="1:29" ht="31.5">
      <c r="A6" s="106"/>
      <c r="B6" s="106"/>
      <c r="C6" s="106"/>
      <c r="D6" s="106"/>
      <c r="E6" s="135" t="s">
        <v>13</v>
      </c>
      <c r="F6" s="132">
        <v>1</v>
      </c>
      <c r="G6" s="132">
        <v>0</v>
      </c>
      <c r="H6" s="133">
        <v>0</v>
      </c>
      <c r="I6" s="134">
        <v>0</v>
      </c>
      <c r="J6" s="10">
        <f t="shared" si="0"/>
        <v>0</v>
      </c>
      <c r="K6" s="99" t="str">
        <f t="shared" si="1"/>
        <v>Neutral</v>
      </c>
      <c r="L6" s="87"/>
      <c r="M6" s="151" t="s">
        <v>14</v>
      </c>
      <c r="N6" s="152"/>
      <c r="O6" s="100">
        <f>IFERROR(MODE(J6:J8),"")</f>
        <v>1</v>
      </c>
      <c r="P6" s="98" t="str">
        <f>IF(G8="","",IF(O6=1,"BUY",IF(O6=-1,"SELL",IF(O6=0,"Neutral","?"))))</f>
        <v>BUY</v>
      </c>
      <c r="Q6" s="95" t="str">
        <f>IF(O6="","",IF(K8="BUY",IF(AND(K7="BUY",K6="BUY"),"STRONG",IF(OR(K7="BUY",K6="BUY"),"MEDIUM","WEAK")),IF(K8="SELL",IF(AND(K7="SELL",K6="SELL"),"STRONG",IF(OR(K7="SELL",K6="SELL"),"MEDIUM","WEAK")),"WEAK")))</f>
        <v>MEDIUM</v>
      </c>
      <c r="R6" s="107">
        <v>3</v>
      </c>
      <c r="S6" s="108" t="s">
        <v>15</v>
      </c>
      <c r="T6" s="109"/>
      <c r="U6" s="109"/>
      <c r="V6" s="109"/>
      <c r="W6" s="106"/>
      <c r="X6" s="106"/>
      <c r="Y6" s="106"/>
      <c r="Z6" s="106"/>
      <c r="AA6" s="106"/>
      <c r="AB6" s="106"/>
      <c r="AC6" s="106"/>
    </row>
    <row r="7" spans="1:29" ht="31.5">
      <c r="A7" s="106"/>
      <c r="B7" s="106"/>
      <c r="C7" s="106"/>
      <c r="D7" s="106"/>
      <c r="E7" s="135" t="s">
        <v>16</v>
      </c>
      <c r="F7" s="136">
        <v>1</v>
      </c>
      <c r="G7" s="132">
        <v>1</v>
      </c>
      <c r="H7" s="133">
        <v>0</v>
      </c>
      <c r="I7" s="134">
        <v>1</v>
      </c>
      <c r="J7" s="10">
        <f t="shared" si="0"/>
        <v>1</v>
      </c>
      <c r="K7" s="99" t="str">
        <f t="shared" si="1"/>
        <v>BUY</v>
      </c>
      <c r="L7" s="87"/>
      <c r="M7" s="104"/>
      <c r="N7" s="2"/>
      <c r="O7" s="91"/>
      <c r="P7" s="2"/>
      <c r="Q7" s="65"/>
      <c r="R7" s="107">
        <v>4</v>
      </c>
      <c r="S7" s="108" t="s">
        <v>17</v>
      </c>
      <c r="T7" s="109"/>
      <c r="U7" s="109"/>
      <c r="V7" s="109"/>
      <c r="W7" s="106"/>
      <c r="X7" s="106"/>
      <c r="Y7" s="106"/>
      <c r="Z7" s="106"/>
      <c r="AA7" s="106"/>
      <c r="AB7" s="106"/>
      <c r="AC7" s="106"/>
    </row>
    <row r="8" spans="1:29" ht="31.5">
      <c r="A8" s="106"/>
      <c r="B8" s="106"/>
      <c r="C8" s="106"/>
      <c r="D8" s="106"/>
      <c r="E8" s="135" t="s">
        <v>18</v>
      </c>
      <c r="F8" s="136"/>
      <c r="G8" s="132">
        <v>1</v>
      </c>
      <c r="H8" s="133">
        <v>1</v>
      </c>
      <c r="I8" s="134">
        <v>0</v>
      </c>
      <c r="J8" s="10">
        <f t="shared" si="0"/>
        <v>1</v>
      </c>
      <c r="K8" s="99" t="str">
        <f t="shared" si="1"/>
        <v>BUY</v>
      </c>
      <c r="L8" s="87"/>
      <c r="M8" s="151" t="s">
        <v>19</v>
      </c>
      <c r="N8" s="152"/>
      <c r="O8" s="97">
        <f>IFERROR(MODE(J8:J10),"")</f>
        <v>1</v>
      </c>
      <c r="P8" s="98" t="str">
        <f>IF(G10="","",IF(O8=1,"BUY",IF(O8=-1,"SELL",IF(O8=0,"Neutral","?"))))</f>
        <v>BUY</v>
      </c>
      <c r="Q8" s="95" t="str">
        <f>IF(O8="","",IF(K8="BUY",IF(AND(K9="BUY",K10="BUY"),"STRONG",IF(OR(K9="BUY",K10="BUY"),"MEDIUM","WEAK")),IF(K8="SELL",IF(AND(K9="SELL",K10="SELL"),"STRONG",IF(OR(K9="SELL",K10="SELL"),"MEDIUM","WEAK")),"WEAK")))</f>
        <v>MEDIUM</v>
      </c>
      <c r="R8" s="107">
        <v>5</v>
      </c>
      <c r="S8" s="108" t="s">
        <v>20</v>
      </c>
      <c r="T8" s="109"/>
      <c r="U8" s="109"/>
      <c r="V8" s="109"/>
      <c r="W8" s="106"/>
      <c r="X8" s="106"/>
      <c r="Y8" s="106"/>
      <c r="Z8" s="106"/>
      <c r="AA8" s="106"/>
      <c r="AB8" s="106"/>
      <c r="AC8" s="106"/>
    </row>
    <row r="9" spans="1:29" ht="31.5">
      <c r="A9" s="106"/>
      <c r="B9" s="106"/>
      <c r="C9" s="106"/>
      <c r="D9" s="106"/>
      <c r="E9" s="135" t="s">
        <v>21</v>
      </c>
      <c r="F9" s="136"/>
      <c r="G9" s="132">
        <v>1</v>
      </c>
      <c r="H9" s="133">
        <v>1</v>
      </c>
      <c r="I9" s="134">
        <v>1</v>
      </c>
      <c r="J9" s="10">
        <f t="shared" si="0"/>
        <v>1</v>
      </c>
      <c r="K9" s="99" t="str">
        <f t="shared" si="1"/>
        <v>BUY</v>
      </c>
      <c r="L9" s="87"/>
      <c r="M9" s="144" t="s">
        <v>22</v>
      </c>
      <c r="N9" s="145"/>
      <c r="O9" s="101"/>
      <c r="P9" s="146" t="str">
        <f>IF(P4=P6,P4,"Anchor")</f>
        <v>Anchor</v>
      </c>
      <c r="Q9" s="147"/>
      <c r="R9" s="107"/>
      <c r="S9" s="108"/>
      <c r="T9" s="109"/>
      <c r="U9" s="109"/>
      <c r="V9" s="109"/>
      <c r="W9" s="106"/>
      <c r="X9" s="106"/>
      <c r="Y9" s="106"/>
      <c r="Z9" s="106"/>
      <c r="AA9" s="106"/>
      <c r="AB9" s="106"/>
      <c r="AC9" s="106"/>
    </row>
    <row r="10" spans="1:29" ht="31.5">
      <c r="A10" s="106"/>
      <c r="B10" s="106"/>
      <c r="C10" s="106"/>
      <c r="D10" s="106"/>
      <c r="E10" s="137" t="s">
        <v>23</v>
      </c>
      <c r="F10" s="138"/>
      <c r="G10" s="132">
        <v>-1</v>
      </c>
      <c r="H10" s="133">
        <v>1</v>
      </c>
      <c r="I10" s="134">
        <v>-1</v>
      </c>
      <c r="J10" s="10">
        <f t="shared" si="0"/>
        <v>-1</v>
      </c>
      <c r="K10" s="102" t="str">
        <f t="shared" si="1"/>
        <v>SELL</v>
      </c>
      <c r="L10" s="87"/>
      <c r="M10" s="144" t="s">
        <v>24</v>
      </c>
      <c r="N10" s="153"/>
      <c r="O10" s="105"/>
      <c r="P10" s="110" t="str">
        <f>IF(J10="","No",IF(P8="?","No",IF(P8="Neutral","Wait",IF(H9&lt;J8,"Wait",IF(H9&gt;J8,"Wait",IF(O8=O4,"YES",IF(K10=K8,"SCALP","NO")))))))</f>
        <v>NO</v>
      </c>
      <c r="Q10" s="111" t="str">
        <f>T22</f>
        <v>B</v>
      </c>
      <c r="R10" s="154" t="s">
        <v>25</v>
      </c>
      <c r="S10" s="155"/>
      <c r="T10" s="155"/>
      <c r="U10" s="155"/>
      <c r="V10" s="155"/>
      <c r="W10" s="106"/>
      <c r="X10" s="106"/>
      <c r="Y10" s="106"/>
      <c r="Z10" s="106"/>
      <c r="AA10" s="106"/>
      <c r="AB10" s="106"/>
      <c r="AC10" s="106"/>
    </row>
    <row r="11" spans="1:29" ht="31.5">
      <c r="A11" s="106"/>
      <c r="B11" s="106"/>
      <c r="C11" s="106"/>
      <c r="D11" s="106"/>
      <c r="E11" s="156" t="s">
        <v>26</v>
      </c>
      <c r="F11" s="157"/>
      <c r="G11" s="157"/>
      <c r="H11" s="157"/>
      <c r="I11" s="157"/>
      <c r="J11" s="157"/>
      <c r="K11" s="157"/>
      <c r="L11" s="88"/>
      <c r="M11" s="158" t="s">
        <v>27</v>
      </c>
      <c r="N11" s="158"/>
      <c r="O11" s="159" t="str">
        <f>IF(K8="","",IF(P6=P4,"GOOD","Min"))</f>
        <v>Min</v>
      </c>
      <c r="P11" s="159"/>
      <c r="Q11" s="160"/>
      <c r="R11" s="154" t="s">
        <v>28</v>
      </c>
      <c r="S11" s="155"/>
      <c r="T11" s="155"/>
      <c r="U11" s="155"/>
      <c r="V11" s="155"/>
      <c r="W11" s="106"/>
      <c r="X11" s="106"/>
      <c r="Y11" s="106"/>
      <c r="Z11" s="106"/>
      <c r="AA11" s="106"/>
      <c r="AB11" s="106"/>
      <c r="AC11" s="106"/>
    </row>
    <row r="12" spans="1:29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</row>
    <row r="13" spans="1:29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</row>
    <row r="14" spans="1:29" ht="18.75">
      <c r="A14" s="106"/>
      <c r="B14" s="106"/>
      <c r="C14" s="106"/>
      <c r="D14" s="106"/>
      <c r="E14" s="92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</row>
    <row r="15" spans="1:29" ht="18.75">
      <c r="A15" s="106"/>
      <c r="B15" s="106"/>
      <c r="C15" s="106"/>
      <c r="D15" s="106"/>
      <c r="E15" s="92"/>
      <c r="F15" s="93" t="s">
        <v>29</v>
      </c>
      <c r="G15" s="93" t="s">
        <v>9</v>
      </c>
      <c r="H15" s="93" t="s">
        <v>14</v>
      </c>
      <c r="I15" s="93" t="s">
        <v>30</v>
      </c>
      <c r="J15" s="93" t="s">
        <v>31</v>
      </c>
      <c r="K15" s="93" t="s">
        <v>32</v>
      </c>
      <c r="L15" s="93" t="s">
        <v>33</v>
      </c>
      <c r="M15" s="93" t="s">
        <v>7</v>
      </c>
      <c r="N15" s="93"/>
      <c r="O15" s="93"/>
      <c r="P15" s="93"/>
      <c r="Q15" s="93"/>
      <c r="R15" s="106"/>
      <c r="S15" s="106"/>
      <c r="T15" s="106" t="s">
        <v>34</v>
      </c>
      <c r="U15" s="106" t="s">
        <v>35</v>
      </c>
      <c r="V15" s="106"/>
      <c r="W15" s="106"/>
      <c r="X15" s="106"/>
      <c r="Y15" s="106"/>
      <c r="Z15" s="106"/>
      <c r="AA15" s="106"/>
      <c r="AB15" s="106"/>
      <c r="AC15" s="106"/>
    </row>
    <row r="16" spans="1:29" ht="18.75">
      <c r="A16" s="106"/>
      <c r="B16" s="106"/>
      <c r="C16" s="106"/>
      <c r="D16" s="106"/>
      <c r="E16" s="92">
        <v>1</v>
      </c>
      <c r="F16" s="139" t="s">
        <v>36</v>
      </c>
      <c r="G16" s="139" t="s">
        <v>37</v>
      </c>
      <c r="H16" s="139" t="s">
        <v>38</v>
      </c>
      <c r="I16" s="139" t="s">
        <v>38</v>
      </c>
      <c r="J16" s="139" t="s">
        <v>39</v>
      </c>
      <c r="K16" s="139" t="s">
        <v>3</v>
      </c>
      <c r="L16" s="139" t="s">
        <v>38</v>
      </c>
      <c r="M16" s="139" t="s">
        <v>40</v>
      </c>
      <c r="N16" s="139"/>
      <c r="O16" s="139"/>
      <c r="P16" s="139"/>
      <c r="Q16" s="139"/>
      <c r="R16" s="106"/>
      <c r="S16" s="106" t="s">
        <v>13</v>
      </c>
      <c r="T16" s="106">
        <f>COUNTIF(J6,"&gt;0")</f>
        <v>0</v>
      </c>
      <c r="U16" s="106">
        <f>COUNTIF(J6,"&lt;0")</f>
        <v>0</v>
      </c>
      <c r="V16" s="106"/>
      <c r="W16" s="106"/>
      <c r="X16" s="106"/>
      <c r="Y16" s="106"/>
      <c r="Z16" s="106"/>
      <c r="AA16" s="106"/>
      <c r="AB16" s="106"/>
      <c r="AC16" s="106"/>
    </row>
    <row r="17" spans="1:29" ht="18.75">
      <c r="A17" s="106"/>
      <c r="B17" s="106"/>
      <c r="C17" s="106"/>
      <c r="D17" s="106"/>
      <c r="E17" s="92">
        <v>2</v>
      </c>
      <c r="F17" s="94" t="s">
        <v>41</v>
      </c>
      <c r="G17" s="94" t="s">
        <v>37</v>
      </c>
      <c r="H17" s="94" t="s">
        <v>42</v>
      </c>
      <c r="I17" s="94" t="s">
        <v>37</v>
      </c>
      <c r="J17" s="94" t="s">
        <v>43</v>
      </c>
      <c r="K17" s="94" t="s">
        <v>44</v>
      </c>
      <c r="L17" s="94" t="s">
        <v>37</v>
      </c>
      <c r="M17" s="94"/>
      <c r="N17" s="94"/>
      <c r="O17" s="94"/>
      <c r="P17" s="94"/>
      <c r="Q17" s="94"/>
      <c r="R17" s="106"/>
      <c r="S17" s="106" t="s">
        <v>16</v>
      </c>
      <c r="T17" s="106">
        <f>COUNTIF(J7,"&gt;0")</f>
        <v>1</v>
      </c>
      <c r="U17" s="106">
        <f>COUNTIF(J7,"&lt;0")</f>
        <v>0</v>
      </c>
      <c r="V17" s="106"/>
      <c r="W17" s="106"/>
      <c r="X17" s="106"/>
      <c r="Y17" s="106"/>
      <c r="Z17" s="106"/>
      <c r="AA17" s="106"/>
      <c r="AB17" s="106"/>
      <c r="AC17" s="106"/>
    </row>
    <row r="18" spans="1:29" ht="18.75">
      <c r="A18" s="106"/>
      <c r="B18" s="106"/>
      <c r="C18" s="106"/>
      <c r="D18" s="106"/>
      <c r="E18" s="92">
        <v>3</v>
      </c>
      <c r="F18" s="139" t="s">
        <v>45</v>
      </c>
      <c r="G18" s="139" t="s">
        <v>46</v>
      </c>
      <c r="H18" s="139" t="s">
        <v>38</v>
      </c>
      <c r="I18" s="139" t="s">
        <v>38</v>
      </c>
      <c r="J18" s="139" t="s">
        <v>39</v>
      </c>
      <c r="K18" s="139" t="s">
        <v>3</v>
      </c>
      <c r="L18" s="139" t="s">
        <v>38</v>
      </c>
      <c r="M18" s="139"/>
      <c r="N18" s="139"/>
      <c r="O18" s="139"/>
      <c r="P18" s="139"/>
      <c r="Q18" s="139"/>
      <c r="R18" s="106"/>
      <c r="S18" s="106" t="s">
        <v>18</v>
      </c>
      <c r="T18" s="106">
        <f>COUNTIF(J8,"&gt;0")</f>
        <v>1</v>
      </c>
      <c r="U18" s="106">
        <f>COUNTIF(J8,"&lt;0")</f>
        <v>0</v>
      </c>
      <c r="V18" s="106"/>
      <c r="W18" s="106"/>
      <c r="X18" s="106"/>
      <c r="Y18" s="106"/>
      <c r="Z18" s="106"/>
      <c r="AA18" s="106"/>
      <c r="AB18" s="106"/>
      <c r="AC18" s="106"/>
    </row>
    <row r="19" spans="1:29" ht="18.75">
      <c r="A19" s="106"/>
      <c r="B19" s="106"/>
      <c r="C19" s="106"/>
      <c r="D19" s="106"/>
      <c r="E19" s="92">
        <v>4</v>
      </c>
      <c r="F19" s="94" t="s">
        <v>47</v>
      </c>
      <c r="G19" s="94" t="s">
        <v>38</v>
      </c>
      <c r="H19" s="94" t="s">
        <v>38</v>
      </c>
      <c r="I19" s="94" t="s">
        <v>37</v>
      </c>
      <c r="J19" s="94" t="s">
        <v>48</v>
      </c>
      <c r="K19" s="94" t="s">
        <v>3</v>
      </c>
      <c r="L19" s="94" t="s">
        <v>38</v>
      </c>
      <c r="M19" s="94"/>
      <c r="N19" s="94"/>
      <c r="O19" s="94"/>
      <c r="P19" s="94"/>
      <c r="Q19" s="94"/>
      <c r="R19" s="106"/>
      <c r="S19" s="106" t="s">
        <v>49</v>
      </c>
      <c r="T19" s="106">
        <f>COUNTIF(J9,"&gt;0")</f>
        <v>1</v>
      </c>
      <c r="U19" s="106">
        <f>COUNTIF(J9,"&lt;0")</f>
        <v>0</v>
      </c>
      <c r="V19" s="106"/>
      <c r="W19" s="106"/>
      <c r="X19" s="106"/>
      <c r="Y19" s="106"/>
      <c r="Z19" s="106"/>
      <c r="AA19" s="106"/>
      <c r="AB19" s="106"/>
      <c r="AC19" s="106"/>
    </row>
    <row r="20" spans="1:29" ht="18.75">
      <c r="A20" s="106"/>
      <c r="B20" s="106"/>
      <c r="C20" s="106"/>
      <c r="D20" s="106"/>
      <c r="E20" s="92">
        <v>5</v>
      </c>
      <c r="F20" s="139" t="s">
        <v>50</v>
      </c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</row>
    <row r="21" spans="1:29" ht="18.75">
      <c r="A21" s="106"/>
      <c r="B21" s="106"/>
      <c r="C21" s="106"/>
      <c r="D21" s="106"/>
      <c r="E21" s="92">
        <v>6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106"/>
      <c r="S21" s="106" t="s">
        <v>51</v>
      </c>
      <c r="T21" s="106">
        <f>SUM(T16:T20)</f>
        <v>3</v>
      </c>
      <c r="U21" s="106">
        <f>SUM(U16:U20)</f>
        <v>0</v>
      </c>
      <c r="V21" s="106"/>
      <c r="W21" s="106"/>
      <c r="X21" s="106"/>
      <c r="Y21" s="106"/>
      <c r="Z21" s="106"/>
      <c r="AA21" s="106"/>
      <c r="AB21" s="106"/>
      <c r="AC21" s="106"/>
    </row>
    <row r="22" spans="1:29" ht="18.75">
      <c r="A22" s="106"/>
      <c r="B22" s="106"/>
      <c r="C22" s="106"/>
      <c r="D22" s="106"/>
      <c r="E22" s="92">
        <v>7</v>
      </c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06"/>
      <c r="S22" s="106"/>
      <c r="T22" s="106" t="str">
        <f>IF(OR(T21=4,U21=4),"A",IF(OR(T21=3,U21=3),"B",IF(OR(T21=2,U21=2),"C",IF(OR(T21=1,U21=1),"D","F"))))</f>
        <v>B</v>
      </c>
      <c r="U22" s="106"/>
      <c r="V22" s="106"/>
      <c r="W22" s="106"/>
      <c r="X22" s="106"/>
      <c r="Y22" s="106"/>
      <c r="Z22" s="106"/>
      <c r="AA22" s="106"/>
      <c r="AB22" s="106"/>
      <c r="AC22" s="106"/>
    </row>
    <row r="23" spans="1:29" ht="18.75">
      <c r="A23" s="106"/>
      <c r="B23" s="106"/>
      <c r="C23" s="106"/>
      <c r="D23" s="106"/>
      <c r="E23" s="92">
        <v>8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 spans="1:29" ht="18.75">
      <c r="A24" s="106"/>
      <c r="B24" s="106"/>
      <c r="C24" s="106"/>
      <c r="D24" s="106"/>
      <c r="E24" s="92">
        <v>9</v>
      </c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spans="1:29" ht="18.75">
      <c r="A25" s="106"/>
      <c r="B25" s="106"/>
      <c r="C25" s="106"/>
      <c r="D25" s="106"/>
      <c r="E25" s="92">
        <v>10</v>
      </c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 spans="1:29" ht="18.75">
      <c r="A26" s="106"/>
      <c r="B26" s="106"/>
      <c r="C26" s="106"/>
      <c r="D26" s="106"/>
      <c r="E26" s="31"/>
      <c r="F26" s="94"/>
      <c r="J26" s="94"/>
      <c r="L26" s="94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spans="1:29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spans="1:29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</sheetData>
  <mergeCells count="13">
    <mergeCell ref="M10:N10"/>
    <mergeCell ref="R10:V10"/>
    <mergeCell ref="E11:K11"/>
    <mergeCell ref="M11:N11"/>
    <mergeCell ref="O11:Q11"/>
    <mergeCell ref="R11:V11"/>
    <mergeCell ref="M9:N9"/>
    <mergeCell ref="P9:Q9"/>
    <mergeCell ref="M3:N3"/>
    <mergeCell ref="R3:V3"/>
    <mergeCell ref="M4:N4"/>
    <mergeCell ref="M6:N6"/>
    <mergeCell ref="M8:N8"/>
  </mergeCells>
  <conditionalFormatting sqref="J16 J18 J20 J22 J24">
    <cfRule type="cellIs" dxfId="300" priority="7" operator="equal">
      <formula>"YES"</formula>
    </cfRule>
  </conditionalFormatting>
  <conditionalFormatting sqref="K16:K17 K19 K25">
    <cfRule type="cellIs" dxfId="299" priority="8" operator="equal">
      <formula>"YES"</formula>
    </cfRule>
  </conditionalFormatting>
  <conditionalFormatting sqref="K21">
    <cfRule type="cellIs" dxfId="298" priority="4" operator="equal">
      <formula>"YES"</formula>
    </cfRule>
  </conditionalFormatting>
  <conditionalFormatting sqref="K23">
    <cfRule type="cellIs" dxfId="297" priority="3" operator="equal">
      <formula>"YES"</formula>
    </cfRule>
  </conditionalFormatting>
  <conditionalFormatting sqref="L4:M4 L5:Q5 L6:M6 L7:Q7 O9">
    <cfRule type="cellIs" dxfId="296" priority="35" operator="equal">
      <formula>"SELL"</formula>
    </cfRule>
  </conditionalFormatting>
  <conditionalFormatting sqref="L4:M4 O4:P4 L5:Q5 L6:M6 O6:P6 L7:Q7 O8:P8 L8:M10 O9 P10">
    <cfRule type="cellIs" dxfId="295" priority="34" operator="equal">
      <formula>"BUY"</formula>
    </cfRule>
  </conditionalFormatting>
  <conditionalFormatting sqref="L8:M11">
    <cfRule type="cellIs" dxfId="294" priority="31" operator="equal">
      <formula>"SELL"</formula>
    </cfRule>
  </conditionalFormatting>
  <conditionalFormatting sqref="L11:M11">
    <cfRule type="cellIs" dxfId="293" priority="30" operator="equal">
      <formula>"BUY"</formula>
    </cfRule>
  </conditionalFormatting>
  <conditionalFormatting sqref="M3">
    <cfRule type="cellIs" dxfId="292" priority="24" operator="equal">
      <formula>"BUY"</formula>
    </cfRule>
    <cfRule type="cellIs" dxfId="291" priority="25" operator="equal">
      <formula>"SELL"</formula>
    </cfRule>
  </conditionalFormatting>
  <conditionalFormatting sqref="O11">
    <cfRule type="cellIs" dxfId="290" priority="26" operator="equal">
      <formula>"YES"</formula>
    </cfRule>
    <cfRule type="cellIs" dxfId="289" priority="27" operator="equal">
      <formula>"NO"</formula>
    </cfRule>
    <cfRule type="cellIs" dxfId="288" priority="28" operator="equal">
      <formula>"BUY"</formula>
    </cfRule>
    <cfRule type="cellIs" dxfId="287" priority="29" operator="equal">
      <formula>"SELL"</formula>
    </cfRule>
  </conditionalFormatting>
  <conditionalFormatting sqref="O4:Q4">
    <cfRule type="cellIs" dxfId="286" priority="23" operator="equal">
      <formula>"SELL"</formula>
    </cfRule>
  </conditionalFormatting>
  <conditionalFormatting sqref="O6:Q6">
    <cfRule type="cellIs" dxfId="285" priority="18" operator="equal">
      <formula>"SELL"</formula>
    </cfRule>
  </conditionalFormatting>
  <conditionalFormatting sqref="O8:Q8">
    <cfRule type="cellIs" dxfId="284" priority="13" operator="equal">
      <formula>"SELL"</formula>
    </cfRule>
  </conditionalFormatting>
  <conditionalFormatting sqref="P9">
    <cfRule type="cellIs" dxfId="283" priority="5" operator="equal">
      <formula>"BUY"</formula>
    </cfRule>
  </conditionalFormatting>
  <conditionalFormatting sqref="P9:P10">
    <cfRule type="cellIs" dxfId="282" priority="6" operator="equal">
      <formula>"SELL"</formula>
    </cfRule>
  </conditionalFormatting>
  <conditionalFormatting sqref="P10">
    <cfRule type="cellIs" dxfId="281" priority="32" operator="equal">
      <formula>"YES"</formula>
    </cfRule>
    <cfRule type="cellIs" dxfId="280" priority="33" operator="equal">
      <formula>"NO"</formula>
    </cfRule>
  </conditionalFormatting>
  <conditionalFormatting sqref="Q4">
    <cfRule type="cellIs" dxfId="279" priority="19" operator="equal">
      <formula>"WEAK"</formula>
    </cfRule>
    <cfRule type="cellIs" dxfId="278" priority="20" operator="equal">
      <formula>"MEDIUM"</formula>
    </cfRule>
    <cfRule type="cellIs" dxfId="277" priority="21" operator="equal">
      <formula>"STRONG"</formula>
    </cfRule>
    <cfRule type="cellIs" dxfId="276" priority="22" operator="equal">
      <formula>"BUY"</formula>
    </cfRule>
  </conditionalFormatting>
  <conditionalFormatting sqref="Q6">
    <cfRule type="cellIs" dxfId="275" priority="14" operator="equal">
      <formula>"WEAK"</formula>
    </cfRule>
    <cfRule type="cellIs" dxfId="274" priority="15" operator="equal">
      <formula>"MEDIUM"</formula>
    </cfRule>
    <cfRule type="cellIs" dxfId="273" priority="16" operator="equal">
      <formula>"STRONG"</formula>
    </cfRule>
    <cfRule type="cellIs" dxfId="272" priority="17" operator="equal">
      <formula>"BUY"</formula>
    </cfRule>
  </conditionalFormatting>
  <conditionalFormatting sqref="Q8">
    <cfRule type="cellIs" dxfId="271" priority="9" operator="equal">
      <formula>"WEAK"</formula>
    </cfRule>
    <cfRule type="cellIs" dxfId="270" priority="10" operator="equal">
      <formula>"MEDIUM"</formula>
    </cfRule>
    <cfRule type="cellIs" dxfId="269" priority="11" operator="equal">
      <formula>"STRONG"</formula>
    </cfRule>
    <cfRule type="cellIs" dxfId="268" priority="12" operator="equal">
      <formula>"BUY"</formula>
    </cfRule>
  </conditionalFormatting>
  <conditionalFormatting sqref="K4:K10">
    <cfRule type="cellIs" dxfId="267" priority="2" operator="equal">
      <formula>"SELL"</formula>
    </cfRule>
  </conditionalFormatting>
  <conditionalFormatting sqref="K4:K10">
    <cfRule type="cellIs" dxfId="266" priority="1" operator="equal">
      <formula>"BUY"</formula>
    </cfRule>
  </conditionalFormatting>
  <dataValidations count="4">
    <dataValidation type="list" allowBlank="1" showInputMessage="1" showErrorMessage="1" sqref="K16:K24" xr:uid="{39B2CE6C-7F15-4A65-90EA-C78645C1E24C}">
      <formula1>"A,B,C,D,F,Wait"</formula1>
    </dataValidation>
    <dataValidation type="list" allowBlank="1" showInputMessage="1" showErrorMessage="1" sqref="J16:J26" xr:uid="{1D2A999D-E57C-4272-A0ED-68422B3566A7}">
      <formula1>"MONITOR,Wait,NO TRADE,Anchor,Part Profit,DONE,IN TRADE"</formula1>
    </dataValidation>
    <dataValidation type="list" allowBlank="1" showInputMessage="1" showErrorMessage="1" sqref="G16:I25 L16:L26" xr:uid="{2CC1171F-CBE5-403F-AB50-87DB5799B8A0}">
      <formula1>"BUY,SELL,NEUTRAL,?"</formula1>
    </dataValidation>
    <dataValidation type="list" allowBlank="1" showInputMessage="1" showErrorMessage="1" sqref="F4:I10" xr:uid="{583E7986-865B-49ED-9C6F-3E5EFA12F5AF}">
      <formula1>"1,0,-1"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0B6D-B240-4D25-8E2E-036532BDC058}">
  <dimension ref="C2:AC35"/>
  <sheetViews>
    <sheetView workbookViewId="0">
      <selection activeCell="C4" sqref="C4:I10"/>
    </sheetView>
  </sheetViews>
  <sheetFormatPr defaultRowHeight="15"/>
  <cols>
    <col min="3" max="3" width="14.5703125" bestFit="1" customWidth="1"/>
    <col min="4" max="4" width="11.7109375" bestFit="1" customWidth="1"/>
    <col min="8" max="8" width="14.5703125" bestFit="1" customWidth="1"/>
    <col min="9" max="9" width="16.28515625" customWidth="1"/>
    <col min="14" max="14" width="16" bestFit="1" customWidth="1"/>
    <col min="15" max="15" width="12.5703125" bestFit="1" customWidth="1"/>
    <col min="17" max="17" width="14.5703125" bestFit="1" customWidth="1"/>
    <col min="18" max="18" width="11.7109375" bestFit="1" customWidth="1"/>
    <col min="19" max="19" width="5.5703125" bestFit="1" customWidth="1"/>
    <col min="22" max="22" width="14.5703125" bestFit="1" customWidth="1"/>
    <col min="23" max="23" width="16" bestFit="1" customWidth="1"/>
    <col min="28" max="28" width="16" bestFit="1" customWidth="1"/>
    <col min="29" max="29" width="12.42578125" customWidth="1"/>
  </cols>
  <sheetData>
    <row r="2" spans="3:29" ht="51" customHeight="1">
      <c r="C2" s="140" t="s">
        <v>36</v>
      </c>
      <c r="Q2" s="140" t="s">
        <v>41</v>
      </c>
    </row>
    <row r="3" spans="3:29" ht="32.25" customHeight="1">
      <c r="C3" s="127"/>
      <c r="D3" s="128" t="s">
        <v>0</v>
      </c>
      <c r="E3" s="129" t="s">
        <v>1</v>
      </c>
      <c r="F3" s="130" t="s">
        <v>2</v>
      </c>
      <c r="G3" s="129" t="s">
        <v>3</v>
      </c>
      <c r="H3" s="103" t="s">
        <v>4</v>
      </c>
      <c r="I3" s="103" t="s">
        <v>5</v>
      </c>
      <c r="J3" s="89"/>
      <c r="K3" s="148" t="s">
        <v>6</v>
      </c>
      <c r="L3" s="148"/>
      <c r="M3" s="89"/>
      <c r="N3" s="89"/>
      <c r="O3" s="90"/>
      <c r="Q3" s="127"/>
      <c r="R3" s="128" t="s">
        <v>0</v>
      </c>
      <c r="S3" s="129" t="s">
        <v>1</v>
      </c>
      <c r="T3" s="130" t="s">
        <v>2</v>
      </c>
      <c r="U3" s="129" t="s">
        <v>3</v>
      </c>
      <c r="V3" s="103" t="s">
        <v>4</v>
      </c>
      <c r="W3" s="103" t="s">
        <v>5</v>
      </c>
      <c r="X3" s="89"/>
      <c r="Y3" s="148" t="s">
        <v>6</v>
      </c>
      <c r="Z3" s="148"/>
      <c r="AA3" s="89"/>
      <c r="AB3" s="89"/>
      <c r="AC3" s="90"/>
    </row>
    <row r="4" spans="3:29" ht="32.25" customHeight="1">
      <c r="C4" s="131" t="s">
        <v>8</v>
      </c>
      <c r="D4" s="132">
        <v>1</v>
      </c>
      <c r="E4" s="132">
        <v>0</v>
      </c>
      <c r="F4" s="133">
        <v>0</v>
      </c>
      <c r="G4" s="134">
        <v>1</v>
      </c>
      <c r="H4" s="10">
        <f>IFERROR(MODE(D4:G4),"")</f>
        <v>1</v>
      </c>
      <c r="I4" s="96" t="str">
        <f>IF(E4="","",IF(H4=1,"BUY",IF(H4=-1,"SELL",IF(H4=0,"Neutral","?"))))</f>
        <v>BUY</v>
      </c>
      <c r="J4" s="87"/>
      <c r="K4" s="151" t="s">
        <v>9</v>
      </c>
      <c r="L4" s="152"/>
      <c r="M4" s="97">
        <f>IFERROR(MODE(H4:H6),"")</f>
        <v>0</v>
      </c>
      <c r="N4" s="98" t="str">
        <f>IF(E4="","",IF(M4=1,"BUY",IF(M4=-1,"SELL",IF(M4=0,"Neutral","?"))))</f>
        <v>Neutral</v>
      </c>
      <c r="O4" s="95" t="str">
        <f>IF(M4="","",IF(I6="BUY",IF(AND(I5="BUY",I4="BUY"),"STRONG",IF(OR(I5="BUY",I4="BUY"),"MEDIUM","WEAK")),IF(I6="SELL",IF(AND(I5="SELL",I4="SELL"),"STRONG",IF(OR(I5="SELL",I4="SELL"),"MEDIUM","WEAK")),"WEAK")))</f>
        <v>WEAK</v>
      </c>
      <c r="Q4" s="131" t="s">
        <v>8</v>
      </c>
      <c r="R4" s="132">
        <v>1</v>
      </c>
      <c r="S4" s="132">
        <v>0</v>
      </c>
      <c r="T4" s="133">
        <v>0</v>
      </c>
      <c r="U4" s="134">
        <v>1</v>
      </c>
      <c r="V4" s="10">
        <f>IFERROR(MODE(R4:U4),"")</f>
        <v>1</v>
      </c>
      <c r="W4" s="96" t="str">
        <f>IF(S4="","",IF(V4=1,"BUY",IF(V4=-1,"SELL",IF(V4=0,"Neutral","?"))))</f>
        <v>BUY</v>
      </c>
      <c r="X4" s="87"/>
      <c r="Y4" s="151" t="s">
        <v>9</v>
      </c>
      <c r="Z4" s="152"/>
      <c r="AA4" s="97">
        <f>IFERROR(MODE(V4:V6),"")</f>
        <v>1</v>
      </c>
      <c r="AB4" s="98" t="str">
        <f>IF(S4="","",IF(AA4=1,"BUY",IF(AA4=-1,"SELL",IF(AA4=0,"Neutral","?"))))</f>
        <v>BUY</v>
      </c>
      <c r="AC4" s="95" t="str">
        <f>IF(AA4="","",IF(W6="BUY",IF(AND(W5="BUY",W4="BUY"),"STRONG",IF(OR(W5="BUY",W4="BUY"),"MEDIUM","WEAK")),IF(W6="SELL",IF(AND(W5="SELL",W4="SELL"),"STRONG",IF(OR(W5="SELL",W4="SELL"),"MEDIUM","WEAK")),"WEAK")))</f>
        <v>MEDIUM</v>
      </c>
    </row>
    <row r="5" spans="3:29" ht="32.25" customHeight="1">
      <c r="C5" s="135" t="s">
        <v>11</v>
      </c>
      <c r="D5" s="132">
        <v>1</v>
      </c>
      <c r="E5" s="132">
        <v>-1</v>
      </c>
      <c r="F5" s="133">
        <v>0</v>
      </c>
      <c r="G5" s="134">
        <v>0</v>
      </c>
      <c r="H5" s="10">
        <f t="shared" ref="H5:H10" si="0">IFERROR(MODE(D5:G5),"")</f>
        <v>0</v>
      </c>
      <c r="I5" s="99" t="str">
        <f t="shared" ref="I5:I10" si="1">IF(E5="","",IF(H5=1,"BUY",IF(H5=-1,"SELL",IF(H5=0,"Neutral","?"))))</f>
        <v>Neutral</v>
      </c>
      <c r="J5" s="87"/>
      <c r="K5" s="104"/>
      <c r="L5" s="2"/>
      <c r="M5" s="91"/>
      <c r="N5" s="2"/>
      <c r="O5" s="65"/>
      <c r="Q5" s="135" t="s">
        <v>11</v>
      </c>
      <c r="R5" s="132">
        <v>1</v>
      </c>
      <c r="S5" s="132">
        <v>0</v>
      </c>
      <c r="T5" s="133">
        <v>0</v>
      </c>
      <c r="U5" s="134">
        <v>0</v>
      </c>
      <c r="V5" s="10">
        <f t="shared" ref="V5:V10" si="2">IFERROR(MODE(R5:U5),"")</f>
        <v>0</v>
      </c>
      <c r="W5" s="99" t="str">
        <f t="shared" ref="W5:W10" si="3">IF(S5="","",IF(V5=1,"BUY",IF(V5=-1,"SELL",IF(V5=0,"Neutral","?"))))</f>
        <v>Neutral</v>
      </c>
      <c r="X5" s="87"/>
      <c r="Y5" s="104"/>
      <c r="Z5" s="2"/>
      <c r="AA5" s="91"/>
      <c r="AB5" s="2"/>
      <c r="AC5" s="65"/>
    </row>
    <row r="6" spans="3:29" ht="32.25" customHeight="1">
      <c r="C6" s="135" t="s">
        <v>13</v>
      </c>
      <c r="D6" s="132">
        <v>1</v>
      </c>
      <c r="E6" s="132">
        <v>0</v>
      </c>
      <c r="F6" s="133">
        <v>0</v>
      </c>
      <c r="G6" s="134">
        <v>0</v>
      </c>
      <c r="H6" s="10">
        <f t="shared" si="0"/>
        <v>0</v>
      </c>
      <c r="I6" s="99" t="str">
        <f t="shared" si="1"/>
        <v>Neutral</v>
      </c>
      <c r="J6" s="87"/>
      <c r="K6" s="151" t="s">
        <v>14</v>
      </c>
      <c r="L6" s="152"/>
      <c r="M6" s="100">
        <f>IFERROR(MODE(H6:H8),"")</f>
        <v>1</v>
      </c>
      <c r="N6" s="98" t="str">
        <f>IF(E8="","",IF(M6=1,"BUY",IF(M6=-1,"SELL",IF(M6=0,"Neutral","?"))))</f>
        <v>BUY</v>
      </c>
      <c r="O6" s="95" t="str">
        <f>IF(M6="","",IF(I8="BUY",IF(AND(I7="BUY",I6="BUY"),"STRONG",IF(OR(I7="BUY",I6="BUY"),"MEDIUM","WEAK")),IF(I8="SELL",IF(AND(I7="SELL",I6="SELL"),"STRONG",IF(OR(I7="SELL",I6="SELL"),"MEDIUM","WEAK")),"WEAK")))</f>
        <v>MEDIUM</v>
      </c>
      <c r="Q6" s="135" t="s">
        <v>13</v>
      </c>
      <c r="R6" s="132">
        <v>1</v>
      </c>
      <c r="S6" s="132">
        <v>1</v>
      </c>
      <c r="T6" s="133">
        <v>0</v>
      </c>
      <c r="U6" s="134">
        <v>0</v>
      </c>
      <c r="V6" s="10">
        <f t="shared" si="2"/>
        <v>1</v>
      </c>
      <c r="W6" s="99" t="str">
        <f t="shared" si="3"/>
        <v>BUY</v>
      </c>
      <c r="X6" s="87"/>
      <c r="Y6" s="151" t="s">
        <v>14</v>
      </c>
      <c r="Z6" s="152"/>
      <c r="AA6" s="100">
        <f>IFERROR(MODE(V6:V8),"")</f>
        <v>1</v>
      </c>
      <c r="AB6" s="98" t="str">
        <f>IF(S8="","",IF(AA6=1,"BUY",IF(AA6=-1,"SELL",IF(AA6=0,"Neutral","?"))))</f>
        <v>BUY</v>
      </c>
      <c r="AC6" s="95" t="str">
        <f>IF(AA6="","",IF(W8="BUY",IF(AND(W7="BUY",W6="BUY"),"STRONG",IF(OR(W7="BUY",W6="BUY"),"MEDIUM","WEAK")),IF(W8="SELL",IF(AND(W7="SELL",W6="SELL"),"STRONG",IF(OR(W7="SELL",W6="SELL"),"MEDIUM","WEAK")),"WEAK")))</f>
        <v>WEAK</v>
      </c>
    </row>
    <row r="7" spans="3:29" ht="32.25" customHeight="1">
      <c r="C7" s="135" t="s">
        <v>16</v>
      </c>
      <c r="D7" s="136">
        <v>1</v>
      </c>
      <c r="E7" s="132">
        <v>1</v>
      </c>
      <c r="F7" s="133">
        <v>0</v>
      </c>
      <c r="G7" s="134">
        <v>1</v>
      </c>
      <c r="H7" s="10">
        <f t="shared" si="0"/>
        <v>1</v>
      </c>
      <c r="I7" s="99" t="str">
        <f t="shared" si="1"/>
        <v>BUY</v>
      </c>
      <c r="J7" s="87"/>
      <c r="K7" s="104"/>
      <c r="L7" s="2"/>
      <c r="M7" s="91"/>
      <c r="N7" s="2"/>
      <c r="O7" s="65"/>
      <c r="Q7" s="135" t="s">
        <v>16</v>
      </c>
      <c r="R7" s="136">
        <v>1</v>
      </c>
      <c r="S7" s="132">
        <v>1</v>
      </c>
      <c r="T7" s="133">
        <v>0</v>
      </c>
      <c r="U7" s="134">
        <v>1</v>
      </c>
      <c r="V7" s="10">
        <f t="shared" si="2"/>
        <v>1</v>
      </c>
      <c r="W7" s="99" t="str">
        <f t="shared" si="3"/>
        <v>BUY</v>
      </c>
      <c r="X7" s="87"/>
      <c r="Y7" s="104"/>
      <c r="Z7" s="2"/>
      <c r="AA7" s="91"/>
      <c r="AB7" s="2"/>
      <c r="AC7" s="65"/>
    </row>
    <row r="8" spans="3:29" ht="32.25" customHeight="1">
      <c r="C8" s="135" t="s">
        <v>18</v>
      </c>
      <c r="D8" s="136"/>
      <c r="E8" s="132">
        <v>0</v>
      </c>
      <c r="F8" s="133">
        <v>1</v>
      </c>
      <c r="G8" s="134">
        <v>1</v>
      </c>
      <c r="H8" s="10">
        <f t="shared" si="0"/>
        <v>1</v>
      </c>
      <c r="I8" s="99" t="str">
        <f t="shared" si="1"/>
        <v>BUY</v>
      </c>
      <c r="J8" s="87"/>
      <c r="K8" s="151" t="s">
        <v>19</v>
      </c>
      <c r="L8" s="152"/>
      <c r="M8" s="97">
        <f>IFERROR(MODE(H8:H10),"")</f>
        <v>1</v>
      </c>
      <c r="N8" s="98" t="str">
        <f>IF(E10="","",IF(M8=1,"BUY",IF(M8=-1,"SELL",IF(M8=0,"Neutral","?"))))</f>
        <v>BUY</v>
      </c>
      <c r="O8" s="95" t="str">
        <f>IF(M8="","",IF(I8="BUY",IF(AND(I9="BUY",I10="BUY"),"STRONG",IF(OR(I9="BUY",I10="BUY"),"MEDIUM","WEAK")),IF(I8="SELL",IF(AND(I9="SELL",I10="SELL"),"STRONG",IF(OR(I9="SELL",I10="SELL"),"MEDIUM","WEAK")),"WEAK")))</f>
        <v>STRONG</v>
      </c>
      <c r="Q8" s="135" t="s">
        <v>18</v>
      </c>
      <c r="R8" s="136"/>
      <c r="S8" s="132">
        <v>-1</v>
      </c>
      <c r="T8" s="133">
        <v>-1</v>
      </c>
      <c r="U8" s="134">
        <v>0</v>
      </c>
      <c r="V8" s="10">
        <f t="shared" si="2"/>
        <v>-1</v>
      </c>
      <c r="W8" s="99" t="str">
        <f t="shared" si="3"/>
        <v>SELL</v>
      </c>
      <c r="X8" s="87"/>
      <c r="Y8" s="151" t="s">
        <v>19</v>
      </c>
      <c r="Z8" s="152"/>
      <c r="AA8" s="97">
        <f>IFERROR(MODE(V8:V10),"")</f>
        <v>1</v>
      </c>
      <c r="AB8" s="98" t="str">
        <f>IF(S10="","",IF(AA8=1,"BUY",IF(AA8=-1,"SELL",IF(AA8=0,"Neutral","?"))))</f>
        <v>BUY</v>
      </c>
      <c r="AC8" s="95" t="str">
        <f>IF(AA8="","",IF(W8="BUY",IF(AND(W9="BUY",W10="BUY"),"STRONG",IF(OR(W9="BUY",W10="BUY"),"MEDIUM","WEAK")),IF(W8="SELL",IF(AND(W9="SELL",W10="SELL"),"STRONG",IF(OR(W9="SELL",W10="SELL"),"MEDIUM","WEAK")),"WEAK")))</f>
        <v>WEAK</v>
      </c>
    </row>
    <row r="9" spans="3:29" ht="32.25" customHeight="1">
      <c r="C9" s="135" t="s">
        <v>21</v>
      </c>
      <c r="D9" s="136"/>
      <c r="E9" s="132">
        <v>1</v>
      </c>
      <c r="F9" s="133">
        <v>1</v>
      </c>
      <c r="G9" s="134">
        <v>1</v>
      </c>
      <c r="H9" s="10">
        <f t="shared" si="0"/>
        <v>1</v>
      </c>
      <c r="I9" s="99" t="str">
        <f t="shared" si="1"/>
        <v>BUY</v>
      </c>
      <c r="J9" s="87"/>
      <c r="K9" s="144" t="s">
        <v>22</v>
      </c>
      <c r="L9" s="145"/>
      <c r="M9" s="101"/>
      <c r="N9" s="146" t="str">
        <f>IF(N4=N6,N4,"Anchor")</f>
        <v>Anchor</v>
      </c>
      <c r="O9" s="147"/>
      <c r="Q9" s="135" t="s">
        <v>21</v>
      </c>
      <c r="R9" s="136"/>
      <c r="S9" s="132">
        <v>1</v>
      </c>
      <c r="T9" s="133">
        <v>1</v>
      </c>
      <c r="U9" s="134">
        <v>0</v>
      </c>
      <c r="V9" s="10">
        <f t="shared" si="2"/>
        <v>1</v>
      </c>
      <c r="W9" s="99" t="str">
        <f t="shared" si="3"/>
        <v>BUY</v>
      </c>
      <c r="X9" s="87"/>
      <c r="Y9" s="144" t="s">
        <v>22</v>
      </c>
      <c r="Z9" s="145"/>
      <c r="AA9" s="101"/>
      <c r="AB9" s="146" t="str">
        <f>IF(AB4=AB6,AB4,"Anchor")</f>
        <v>BUY</v>
      </c>
      <c r="AC9" s="147"/>
    </row>
    <row r="10" spans="3:29" ht="32.25" customHeight="1">
      <c r="C10" s="137" t="s">
        <v>23</v>
      </c>
      <c r="D10" s="138"/>
      <c r="E10" s="132">
        <v>1</v>
      </c>
      <c r="F10" s="133">
        <v>1</v>
      </c>
      <c r="G10" s="134">
        <v>1</v>
      </c>
      <c r="H10" s="10">
        <f t="shared" si="0"/>
        <v>1</v>
      </c>
      <c r="I10" s="102" t="str">
        <f t="shared" si="1"/>
        <v>BUY</v>
      </c>
      <c r="J10" s="87"/>
      <c r="K10" s="144" t="s">
        <v>24</v>
      </c>
      <c r="L10" s="153"/>
      <c r="M10" s="105"/>
      <c r="N10" s="110" t="str">
        <f>IF(H10="","No",IF(N8="?","No",IF(N8="Neutral","Wait",IF(F9&lt;H8,"Wait",IF(F9&gt;H8,"Wait",IF(M8=M4,"YES",IF(I10=I8,"SCALP","NO")))))))</f>
        <v>SCALP</v>
      </c>
      <c r="O10" s="111">
        <f>R22</f>
        <v>0</v>
      </c>
      <c r="Q10" s="137" t="s">
        <v>23</v>
      </c>
      <c r="R10" s="138"/>
      <c r="S10" s="132">
        <v>1</v>
      </c>
      <c r="T10" s="133">
        <v>1</v>
      </c>
      <c r="U10" s="134">
        <v>1</v>
      </c>
      <c r="V10" s="10">
        <f t="shared" si="2"/>
        <v>1</v>
      </c>
      <c r="W10" s="102" t="str">
        <f t="shared" si="3"/>
        <v>BUY</v>
      </c>
      <c r="X10" s="87"/>
      <c r="Y10" s="144" t="s">
        <v>24</v>
      </c>
      <c r="Z10" s="153"/>
      <c r="AA10" s="105"/>
      <c r="AB10" s="110" t="str">
        <f>IF(V10="","No",IF(AB8="?","No",IF(AB8="Neutral","Wait",IF(T9&lt;V8,"Wait",IF(T9&gt;V8,"Wait",IF(AA8=AA4,"YES",IF(W10=W8,"SCALP","NO")))))))</f>
        <v>Wait</v>
      </c>
      <c r="AC10" s="111">
        <f>AF22</f>
        <v>0</v>
      </c>
    </row>
    <row r="11" spans="3:29" ht="32.25" customHeight="1">
      <c r="C11" s="156" t="s">
        <v>26</v>
      </c>
      <c r="D11" s="157"/>
      <c r="E11" s="157"/>
      <c r="F11" s="157"/>
      <c r="G11" s="157"/>
      <c r="H11" s="157"/>
      <c r="I11" s="157"/>
      <c r="J11" s="88"/>
      <c r="K11" s="158" t="s">
        <v>27</v>
      </c>
      <c r="L11" s="158"/>
      <c r="M11" s="159" t="str">
        <f>IF(I8="","",IF(N6=N4,"GOOD","Min"))</f>
        <v>Min</v>
      </c>
      <c r="N11" s="159"/>
      <c r="O11" s="160"/>
      <c r="Q11" s="156" t="s">
        <v>26</v>
      </c>
      <c r="R11" s="157"/>
      <c r="S11" s="157"/>
      <c r="T11" s="157"/>
      <c r="U11" s="157"/>
      <c r="V11" s="157"/>
      <c r="W11" s="157"/>
      <c r="X11" s="88"/>
      <c r="Y11" s="158" t="s">
        <v>27</v>
      </c>
      <c r="Z11" s="158"/>
      <c r="AA11" s="159" t="str">
        <f>IF(W8="","",IF(AB6=AB4,"GOOD","Min"))</f>
        <v>GOOD</v>
      </c>
      <c r="AB11" s="159"/>
      <c r="AC11" s="160"/>
    </row>
    <row r="14" spans="3:29" ht="24" thickBot="1">
      <c r="C14" s="140" t="s">
        <v>52</v>
      </c>
      <c r="Q14" s="140" t="s">
        <v>53</v>
      </c>
    </row>
    <row r="15" spans="3:29" ht="32.25" thickBot="1">
      <c r="C15" s="127"/>
      <c r="D15" s="128" t="s">
        <v>0</v>
      </c>
      <c r="E15" s="129" t="s">
        <v>1</v>
      </c>
      <c r="F15" s="130" t="s">
        <v>2</v>
      </c>
      <c r="G15" s="129" t="s">
        <v>3</v>
      </c>
      <c r="H15" s="103" t="s">
        <v>4</v>
      </c>
      <c r="I15" s="103" t="s">
        <v>5</v>
      </c>
      <c r="J15" s="89"/>
      <c r="K15" s="148" t="s">
        <v>6</v>
      </c>
      <c r="L15" s="148"/>
      <c r="M15" s="89"/>
      <c r="N15" s="89"/>
      <c r="O15" s="90"/>
      <c r="Q15" s="127"/>
      <c r="R15" s="128" t="s">
        <v>0</v>
      </c>
      <c r="S15" s="129" t="s">
        <v>1</v>
      </c>
      <c r="T15" s="130" t="s">
        <v>2</v>
      </c>
      <c r="U15" s="129" t="s">
        <v>3</v>
      </c>
      <c r="V15" s="103" t="s">
        <v>4</v>
      </c>
      <c r="W15" s="103" t="s">
        <v>5</v>
      </c>
      <c r="X15" s="89"/>
      <c r="Y15" s="148" t="s">
        <v>6</v>
      </c>
      <c r="Z15" s="148"/>
      <c r="AA15" s="89"/>
      <c r="AB15" s="89"/>
      <c r="AC15" s="90"/>
    </row>
    <row r="16" spans="3:29" ht="32.25" thickBot="1">
      <c r="C16" s="131" t="s">
        <v>8</v>
      </c>
      <c r="D16" s="132">
        <v>1</v>
      </c>
      <c r="E16" s="132">
        <v>0</v>
      </c>
      <c r="F16" s="133">
        <v>0</v>
      </c>
      <c r="G16" s="134">
        <v>1</v>
      </c>
      <c r="H16" s="10">
        <f>IFERROR(MODE(D16:G16),"")</f>
        <v>1</v>
      </c>
      <c r="I16" s="96" t="str">
        <f>IF(E16="","",IF(H16=1,"BUY",IF(H16=-1,"SELL",IF(H16=0,"Neutral","?"))))</f>
        <v>BUY</v>
      </c>
      <c r="J16" s="87"/>
      <c r="K16" s="151" t="s">
        <v>9</v>
      </c>
      <c r="L16" s="152"/>
      <c r="M16" s="97">
        <f>IFERROR(MODE(H16:H18),"")</f>
        <v>1</v>
      </c>
      <c r="N16" s="98" t="str">
        <f>IF(E16="","",IF(M16=1,"BUY",IF(M16=-1,"SELL",IF(M16=0,"Neutral","?"))))</f>
        <v>BUY</v>
      </c>
      <c r="O16" s="95" t="str">
        <f>IF(M16="","",IF(I18="BUY",IF(AND(I17="BUY",I16="BUY"),"STRONG",IF(OR(I17="BUY",I16="BUY"),"MEDIUM","WEAK")),IF(I18="SELL",IF(AND(I17="SELL",I16="SELL"),"STRONG",IF(OR(I17="SELL",I16="SELL"),"MEDIUM","WEAK")),"WEAK")))</f>
        <v>WEAK</v>
      </c>
      <c r="Q16" s="131" t="s">
        <v>8</v>
      </c>
      <c r="R16" s="132">
        <v>1</v>
      </c>
      <c r="S16" s="132">
        <v>-1</v>
      </c>
      <c r="T16" s="133">
        <v>0</v>
      </c>
      <c r="U16" s="134">
        <v>1</v>
      </c>
      <c r="V16" s="10">
        <f>IFERROR(MODE(R16:U16),"")</f>
        <v>1</v>
      </c>
      <c r="W16" s="96" t="str">
        <f>IF(S16="","",IF(V16=1,"BUY",IF(V16=-1,"SELL",IF(V16=0,"Neutral","?"))))</f>
        <v>BUY</v>
      </c>
      <c r="X16" s="87"/>
      <c r="Y16" s="151" t="s">
        <v>9</v>
      </c>
      <c r="Z16" s="152"/>
      <c r="AA16" s="97">
        <f>IFERROR(MODE(V16:V18),"")</f>
        <v>1</v>
      </c>
      <c r="AB16" s="98" t="str">
        <f>IF(S16="","",IF(AA16=1,"BUY",IF(AA16=-1,"SELL",IF(AA16=0,"Neutral","?"))))</f>
        <v>BUY</v>
      </c>
      <c r="AC16" s="95" t="str">
        <f>IF(AA16="","",IF(W18="BUY",IF(AND(W17="BUY",W16="BUY"),"STRONG",IF(OR(W17="BUY",W16="BUY"),"MEDIUM","WEAK")),IF(W18="SELL",IF(AND(W17="SELL",W16="SELL"),"STRONG",IF(OR(W17="SELL",W16="SELL"),"MEDIUM","WEAK")),"WEAK")))</f>
        <v>MEDIUM</v>
      </c>
    </row>
    <row r="17" spans="3:29" ht="32.25" thickBot="1">
      <c r="C17" s="135" t="s">
        <v>11</v>
      </c>
      <c r="D17" s="132">
        <v>1</v>
      </c>
      <c r="E17" s="132">
        <v>0</v>
      </c>
      <c r="F17" s="133">
        <v>0</v>
      </c>
      <c r="G17" s="134">
        <v>1</v>
      </c>
      <c r="H17" s="10">
        <f t="shared" ref="H17:H22" si="4">IFERROR(MODE(D17:G17),"")</f>
        <v>1</v>
      </c>
      <c r="I17" s="99" t="str">
        <f t="shared" ref="I17:I22" si="5">IF(E17="","",IF(H17=1,"BUY",IF(H17=-1,"SELL",IF(H17=0,"Neutral","?"))))</f>
        <v>BUY</v>
      </c>
      <c r="J17" s="87"/>
      <c r="K17" s="104"/>
      <c r="L17" s="2"/>
      <c r="M17" s="91"/>
      <c r="N17" s="2"/>
      <c r="O17" s="65"/>
      <c r="Q17" s="135" t="s">
        <v>11</v>
      </c>
      <c r="R17" s="132">
        <v>-1</v>
      </c>
      <c r="S17" s="132">
        <v>0</v>
      </c>
      <c r="T17" s="133">
        <v>0</v>
      </c>
      <c r="U17" s="134">
        <v>0</v>
      </c>
      <c r="V17" s="10">
        <f t="shared" ref="V17:V22" si="6">IFERROR(MODE(R17:U17),"")</f>
        <v>0</v>
      </c>
      <c r="W17" s="99" t="str">
        <f t="shared" ref="W17:W22" si="7">IF(S17="","",IF(V17=1,"BUY",IF(V17=-1,"SELL",IF(V17=0,"Neutral","?"))))</f>
        <v>Neutral</v>
      </c>
      <c r="X17" s="87"/>
      <c r="Y17" s="104"/>
      <c r="Z17" s="2"/>
      <c r="AA17" s="91"/>
      <c r="AB17" s="2"/>
      <c r="AC17" s="65"/>
    </row>
    <row r="18" spans="3:29" ht="32.25" thickBot="1">
      <c r="C18" s="135" t="s">
        <v>13</v>
      </c>
      <c r="D18" s="132">
        <v>1</v>
      </c>
      <c r="E18" s="132">
        <v>0</v>
      </c>
      <c r="F18" s="133">
        <v>0</v>
      </c>
      <c r="G18" s="134">
        <v>0</v>
      </c>
      <c r="H18" s="10">
        <f t="shared" si="4"/>
        <v>0</v>
      </c>
      <c r="I18" s="99" t="str">
        <f t="shared" si="5"/>
        <v>Neutral</v>
      </c>
      <c r="J18" s="87"/>
      <c r="K18" s="151" t="s">
        <v>14</v>
      </c>
      <c r="L18" s="152"/>
      <c r="M18" s="100" t="str">
        <f>IFERROR(MODE(H18:H20),"")</f>
        <v/>
      </c>
      <c r="N18" s="98" t="str">
        <f>IF(E20="","",IF(M18=1,"BUY",IF(M18=-1,"SELL",IF(M18=0,"Neutral","?"))))</f>
        <v>?</v>
      </c>
      <c r="O18" s="95" t="str">
        <f>IF(M18="","",IF(I20="BUY",IF(AND(I19="BUY",I18="BUY"),"STRONG",IF(OR(I19="BUY",I18="BUY"),"MEDIUM","WEAK")),IF(I20="SELL",IF(AND(I19="SELL",I18="SELL"),"STRONG",IF(OR(I19="SELL",I18="SELL"),"MEDIUM","WEAK")),"WEAK")))</f>
        <v/>
      </c>
      <c r="Q18" s="135" t="s">
        <v>13</v>
      </c>
      <c r="R18" s="132">
        <v>1</v>
      </c>
      <c r="S18" s="132">
        <v>1</v>
      </c>
      <c r="T18" s="133">
        <v>0</v>
      </c>
      <c r="U18" s="134">
        <v>0</v>
      </c>
      <c r="V18" s="10">
        <f t="shared" si="6"/>
        <v>1</v>
      </c>
      <c r="W18" s="99" t="str">
        <f t="shared" si="7"/>
        <v>BUY</v>
      </c>
      <c r="X18" s="87"/>
      <c r="Y18" s="151" t="s">
        <v>14</v>
      </c>
      <c r="Z18" s="152"/>
      <c r="AA18" s="100">
        <f>IFERROR(MODE(V18:V20),"")</f>
        <v>1</v>
      </c>
      <c r="AB18" s="98" t="str">
        <f>IF(S20="","",IF(AA18=1,"BUY",IF(AA18=-1,"SELL",IF(AA18=0,"Neutral","?"))))</f>
        <v>BUY</v>
      </c>
      <c r="AC18" s="95" t="str">
        <f>IF(AA18="","",IF(W20="BUY",IF(AND(W19="BUY",W18="BUY"),"STRONG",IF(OR(W19="BUY",W18="BUY"),"MEDIUM","WEAK")),IF(W20="SELL",IF(AND(W19="SELL",W18="SELL"),"STRONG",IF(OR(W19="SELL",W18="SELL"),"MEDIUM","WEAK")),"WEAK")))</f>
        <v>WEAK</v>
      </c>
    </row>
    <row r="19" spans="3:29" ht="32.25" thickBot="1">
      <c r="C19" s="135" t="s">
        <v>16</v>
      </c>
      <c r="D19" s="136">
        <v>1</v>
      </c>
      <c r="E19" s="132">
        <v>1</v>
      </c>
      <c r="F19" s="133">
        <v>0</v>
      </c>
      <c r="G19" s="134">
        <v>1</v>
      </c>
      <c r="H19" s="10">
        <f t="shared" si="4"/>
        <v>1</v>
      </c>
      <c r="I19" s="99" t="str">
        <f t="shared" si="5"/>
        <v>BUY</v>
      </c>
      <c r="J19" s="87"/>
      <c r="K19" s="104"/>
      <c r="L19" s="2"/>
      <c r="M19" s="91"/>
      <c r="N19" s="2"/>
      <c r="O19" s="65"/>
      <c r="Q19" s="135" t="s">
        <v>16</v>
      </c>
      <c r="R19" s="136">
        <v>1</v>
      </c>
      <c r="S19" s="132">
        <v>-1</v>
      </c>
      <c r="T19" s="133">
        <v>1</v>
      </c>
      <c r="U19" s="134">
        <v>1</v>
      </c>
      <c r="V19" s="10">
        <f t="shared" si="6"/>
        <v>1</v>
      </c>
      <c r="W19" s="99" t="str">
        <f t="shared" si="7"/>
        <v>BUY</v>
      </c>
      <c r="X19" s="87"/>
      <c r="Y19" s="104"/>
      <c r="Z19" s="2"/>
      <c r="AA19" s="91"/>
      <c r="AB19" s="2"/>
      <c r="AC19" s="65"/>
    </row>
    <row r="20" spans="3:29" ht="32.25" thickBot="1">
      <c r="C20" s="135" t="s">
        <v>18</v>
      </c>
      <c r="D20" s="136"/>
      <c r="E20" s="132">
        <v>-1</v>
      </c>
      <c r="F20" s="133">
        <v>-1</v>
      </c>
      <c r="G20" s="134">
        <v>0</v>
      </c>
      <c r="H20" s="10">
        <f t="shared" si="4"/>
        <v>-1</v>
      </c>
      <c r="I20" s="99" t="str">
        <f t="shared" si="5"/>
        <v>SELL</v>
      </c>
      <c r="J20" s="87"/>
      <c r="K20" s="151" t="s">
        <v>19</v>
      </c>
      <c r="L20" s="152"/>
      <c r="M20" s="97">
        <f>IFERROR(MODE(H20:H22),"")</f>
        <v>-1</v>
      </c>
      <c r="N20" s="98" t="str">
        <f>IF(E22="","",IF(M20=1,"BUY",IF(M20=-1,"SELL",IF(M20=0,"Neutral","?"))))</f>
        <v>SELL</v>
      </c>
      <c r="O20" s="95" t="str">
        <f>IF(M20="","",IF(I20="BUY",IF(AND(I21="BUY",I22="BUY"),"STRONG",IF(OR(I21="BUY",I22="BUY"),"MEDIUM","WEAK")),IF(I20="SELL",IF(AND(I21="SELL",I22="SELL"),"STRONG",IF(OR(I21="SELL",I22="SELL"),"MEDIUM","WEAK")),"WEAK")))</f>
        <v>MEDIUM</v>
      </c>
      <c r="Q20" s="135" t="s">
        <v>18</v>
      </c>
      <c r="R20" s="136"/>
      <c r="S20" s="132">
        <v>-1</v>
      </c>
      <c r="T20" s="133">
        <v>1</v>
      </c>
      <c r="U20" s="134">
        <v>0</v>
      </c>
      <c r="V20" s="10" t="str">
        <f t="shared" si="6"/>
        <v/>
      </c>
      <c r="W20" s="99" t="str">
        <f t="shared" si="7"/>
        <v>?</v>
      </c>
      <c r="X20" s="87"/>
      <c r="Y20" s="151" t="s">
        <v>19</v>
      </c>
      <c r="Z20" s="152"/>
      <c r="AA20" s="97" t="str">
        <f>IFERROR(MODE(V20:V22),"")</f>
        <v/>
      </c>
      <c r="AB20" s="98" t="str">
        <f>IF(S22="","",IF(AA20=1,"BUY",IF(AA20=-1,"SELL",IF(AA20=0,"Neutral","?"))))</f>
        <v>?</v>
      </c>
      <c r="AC20" s="95" t="str">
        <f>IF(AA20="","",IF(W20="BUY",IF(AND(W21="BUY",W22="BUY"),"STRONG",IF(OR(W21="BUY",W22="BUY"),"MEDIUM","WEAK")),IF(W20="SELL",IF(AND(W21="SELL",W22="SELL"),"STRONG",IF(OR(W21="SELL",W22="SELL"),"MEDIUM","WEAK")),"WEAK")))</f>
        <v/>
      </c>
    </row>
    <row r="21" spans="3:29" ht="32.25" thickBot="1">
      <c r="C21" s="135" t="s">
        <v>21</v>
      </c>
      <c r="D21" s="136"/>
      <c r="E21" s="132">
        <v>-1</v>
      </c>
      <c r="F21" s="133">
        <v>0</v>
      </c>
      <c r="G21" s="134">
        <v>-1</v>
      </c>
      <c r="H21" s="10">
        <f t="shared" si="4"/>
        <v>-1</v>
      </c>
      <c r="I21" s="99" t="str">
        <f t="shared" si="5"/>
        <v>SELL</v>
      </c>
      <c r="J21" s="87"/>
      <c r="K21" s="144" t="s">
        <v>22</v>
      </c>
      <c r="L21" s="145"/>
      <c r="M21" s="101"/>
      <c r="N21" s="146" t="str">
        <f>IF(N16=N18,N16,"Anchor")</f>
        <v>Anchor</v>
      </c>
      <c r="O21" s="147"/>
      <c r="Q21" s="135" t="s">
        <v>21</v>
      </c>
      <c r="R21" s="136"/>
      <c r="S21" s="132">
        <v>1</v>
      </c>
      <c r="T21" s="133">
        <v>0</v>
      </c>
      <c r="U21" s="134">
        <v>0</v>
      </c>
      <c r="V21" s="10">
        <f t="shared" si="6"/>
        <v>0</v>
      </c>
      <c r="W21" s="99" t="str">
        <f t="shared" si="7"/>
        <v>Neutral</v>
      </c>
      <c r="X21" s="87"/>
      <c r="Y21" s="144" t="s">
        <v>22</v>
      </c>
      <c r="Z21" s="145"/>
      <c r="AA21" s="101"/>
      <c r="AB21" s="146" t="str">
        <f>IF(AB16=AB18,AB16,"Anchor")</f>
        <v>BUY</v>
      </c>
      <c r="AC21" s="147"/>
    </row>
    <row r="22" spans="3:29" ht="32.25" thickBot="1">
      <c r="C22" s="137" t="s">
        <v>23</v>
      </c>
      <c r="D22" s="138"/>
      <c r="E22" s="132">
        <v>1</v>
      </c>
      <c r="F22" s="133">
        <v>1</v>
      </c>
      <c r="G22" s="134">
        <v>-1</v>
      </c>
      <c r="H22" s="10">
        <f t="shared" si="4"/>
        <v>1</v>
      </c>
      <c r="I22" s="102" t="str">
        <f t="shared" si="5"/>
        <v>BUY</v>
      </c>
      <c r="J22" s="87"/>
      <c r="K22" s="144" t="s">
        <v>24</v>
      </c>
      <c r="L22" s="153"/>
      <c r="M22" s="105"/>
      <c r="N22" s="110" t="str">
        <f>IF(H22="","No",IF(N20="?","No",IF(N20="Neutral","Wait",IF(F21&lt;H20,"Wait",IF(F21&gt;H20,"Wait",IF(M20=M16,"YES",IF(I22=I20,"SCALP","NO")))))))</f>
        <v>Wait</v>
      </c>
      <c r="O22" s="111">
        <f>R34</f>
        <v>0</v>
      </c>
      <c r="Q22" s="137" t="s">
        <v>23</v>
      </c>
      <c r="R22" s="138"/>
      <c r="S22" s="132">
        <v>1</v>
      </c>
      <c r="T22" s="133">
        <v>1</v>
      </c>
      <c r="U22" s="134">
        <v>1</v>
      </c>
      <c r="V22" s="10">
        <f t="shared" si="6"/>
        <v>1</v>
      </c>
      <c r="W22" s="102" t="str">
        <f t="shared" si="7"/>
        <v>BUY</v>
      </c>
      <c r="X22" s="87"/>
      <c r="Y22" s="144" t="s">
        <v>24</v>
      </c>
      <c r="Z22" s="153"/>
      <c r="AA22" s="105"/>
      <c r="AB22" s="110" t="str">
        <f>IF(V22="","No",IF(AB20="?","No",IF(AB20="Neutral","Wait",IF(T21&lt;V20,"Wait",IF(T21&gt;V20,"Wait",IF(AA20=AA16,"YES",IF(W22=W20,"SCALP","NO")))))))</f>
        <v>No</v>
      </c>
      <c r="AC22" s="111">
        <f>AF34</f>
        <v>0</v>
      </c>
    </row>
    <row r="23" spans="3:29" ht="32.25" thickBot="1">
      <c r="C23" s="156" t="s">
        <v>26</v>
      </c>
      <c r="D23" s="157"/>
      <c r="E23" s="157"/>
      <c r="F23" s="157"/>
      <c r="G23" s="157"/>
      <c r="H23" s="157"/>
      <c r="I23" s="157"/>
      <c r="J23" s="88"/>
      <c r="K23" s="158" t="s">
        <v>27</v>
      </c>
      <c r="L23" s="158"/>
      <c r="M23" s="159" t="str">
        <f>IF(I20="","",IF(N18=N16,"GOOD","Min"))</f>
        <v>Min</v>
      </c>
      <c r="N23" s="159"/>
      <c r="O23" s="160"/>
      <c r="Q23" s="156" t="s">
        <v>26</v>
      </c>
      <c r="R23" s="157"/>
      <c r="S23" s="157"/>
      <c r="T23" s="157"/>
      <c r="U23" s="157"/>
      <c r="V23" s="157"/>
      <c r="W23" s="157"/>
      <c r="X23" s="88"/>
      <c r="Y23" s="158" t="s">
        <v>27</v>
      </c>
      <c r="Z23" s="158"/>
      <c r="AA23" s="159" t="str">
        <f>IF(W20="","",IF(AB18=AB16,"GOOD","Min"))</f>
        <v>GOOD</v>
      </c>
      <c r="AB23" s="159"/>
      <c r="AC23" s="160"/>
    </row>
    <row r="26" spans="3:29" ht="24" thickBot="1">
      <c r="C26" s="140" t="s">
        <v>45</v>
      </c>
    </row>
    <row r="27" spans="3:29" ht="32.25" thickBot="1">
      <c r="C27" s="127"/>
      <c r="D27" s="128" t="s">
        <v>0</v>
      </c>
      <c r="E27" s="129" t="s">
        <v>1</v>
      </c>
      <c r="F27" s="130" t="s">
        <v>2</v>
      </c>
      <c r="G27" s="129" t="s">
        <v>3</v>
      </c>
      <c r="H27" s="103" t="s">
        <v>4</v>
      </c>
      <c r="I27" s="103" t="s">
        <v>5</v>
      </c>
      <c r="J27" s="89"/>
      <c r="K27" s="148" t="s">
        <v>6</v>
      </c>
      <c r="L27" s="148"/>
      <c r="M27" s="89"/>
      <c r="N27" s="89"/>
      <c r="O27" s="90"/>
    </row>
    <row r="28" spans="3:29" ht="32.25" thickBot="1">
      <c r="C28" s="131" t="s">
        <v>8</v>
      </c>
      <c r="D28" s="132">
        <v>1</v>
      </c>
      <c r="E28" s="132">
        <v>0</v>
      </c>
      <c r="F28" s="133">
        <v>0</v>
      </c>
      <c r="G28" s="134">
        <v>1</v>
      </c>
      <c r="H28" s="10">
        <f>IFERROR(MODE(D28:G28),"")</f>
        <v>1</v>
      </c>
      <c r="I28" s="96" t="str">
        <f>IF(E28="","",IF(H28=1,"BUY",IF(H28=-1,"SELL",IF(H28=0,"Neutral","?"))))</f>
        <v>BUY</v>
      </c>
      <c r="J28" s="87"/>
      <c r="K28" s="151" t="s">
        <v>9</v>
      </c>
      <c r="L28" s="152"/>
      <c r="M28" s="97">
        <f>IFERROR(MODE(H28:H30),"")</f>
        <v>-1</v>
      </c>
      <c r="N28" s="98" t="str">
        <f>IF(E28="","",IF(M28=1,"BUY",IF(M28=-1,"SELL",IF(M28=0,"Neutral","?"))))</f>
        <v>SELL</v>
      </c>
      <c r="O28" s="95" t="str">
        <f>IF(M28="","",IF(I30="BUY",IF(AND(I29="BUY",I28="BUY"),"STRONG",IF(OR(I29="BUY",I28="BUY"),"MEDIUM","WEAK")),IF(I30="SELL",IF(AND(I29="SELL",I28="SELL"),"STRONG",IF(OR(I29="SELL",I28="SELL"),"MEDIUM","WEAK")),"WEAK")))</f>
        <v>MEDIUM</v>
      </c>
    </row>
    <row r="29" spans="3:29" ht="32.25" thickBot="1">
      <c r="C29" s="135" t="s">
        <v>11</v>
      </c>
      <c r="D29" s="132">
        <v>-1</v>
      </c>
      <c r="E29" s="132">
        <v>-1</v>
      </c>
      <c r="F29" s="133">
        <v>0</v>
      </c>
      <c r="G29" s="134">
        <v>0</v>
      </c>
      <c r="H29" s="10">
        <f t="shared" ref="H29:H34" si="8">IFERROR(MODE(D29:G29),"")</f>
        <v>-1</v>
      </c>
      <c r="I29" s="99" t="str">
        <f t="shared" ref="I29:I34" si="9">IF(E29="","",IF(H29=1,"BUY",IF(H29=-1,"SELL",IF(H29=0,"Neutral","?"))))</f>
        <v>SELL</v>
      </c>
      <c r="J29" s="87"/>
      <c r="K29" s="104"/>
      <c r="L29" s="2"/>
      <c r="M29" s="91"/>
      <c r="N29" s="2"/>
      <c r="O29" s="65"/>
    </row>
    <row r="30" spans="3:29" ht="32.25" thickBot="1">
      <c r="C30" s="135" t="s">
        <v>13</v>
      </c>
      <c r="D30" s="132">
        <v>1</v>
      </c>
      <c r="E30" s="132">
        <v>-1</v>
      </c>
      <c r="F30" s="133">
        <v>0</v>
      </c>
      <c r="G30" s="134">
        <v>-1</v>
      </c>
      <c r="H30" s="10">
        <f t="shared" si="8"/>
        <v>-1</v>
      </c>
      <c r="I30" s="99" t="str">
        <f t="shared" si="9"/>
        <v>SELL</v>
      </c>
      <c r="J30" s="87"/>
      <c r="K30" s="151" t="s">
        <v>14</v>
      </c>
      <c r="L30" s="152"/>
      <c r="M30" s="100">
        <f>IFERROR(MODE(H30:H32),"")</f>
        <v>1</v>
      </c>
      <c r="N30" s="98" t="str">
        <f>IF(E32="","",IF(M30=1,"BUY",IF(M30=-1,"SELL",IF(M30=0,"Neutral","?"))))</f>
        <v>BUY</v>
      </c>
      <c r="O30" s="95" t="str">
        <f>IF(M30="","",IF(I32="BUY",IF(AND(I31="BUY",I30="BUY"),"STRONG",IF(OR(I31="BUY",I30="BUY"),"MEDIUM","WEAK")),IF(I32="SELL",IF(AND(I31="SELL",I30="SELL"),"STRONG",IF(OR(I31="SELL",I30="SELL"),"MEDIUM","WEAK")),"WEAK")))</f>
        <v>MEDIUM</v>
      </c>
    </row>
    <row r="31" spans="3:29" ht="32.25" thickBot="1">
      <c r="C31" s="135" t="s">
        <v>16</v>
      </c>
      <c r="D31" s="136">
        <v>1</v>
      </c>
      <c r="E31" s="132">
        <v>1</v>
      </c>
      <c r="F31" s="133">
        <v>1</v>
      </c>
      <c r="G31" s="134">
        <v>1</v>
      </c>
      <c r="H31" s="10">
        <f t="shared" si="8"/>
        <v>1</v>
      </c>
      <c r="I31" s="99" t="str">
        <f t="shared" si="9"/>
        <v>BUY</v>
      </c>
      <c r="J31" s="87"/>
      <c r="K31" s="104"/>
      <c r="L31" s="2"/>
      <c r="M31" s="91"/>
      <c r="N31" s="2"/>
      <c r="O31" s="65"/>
    </row>
    <row r="32" spans="3:29" ht="32.25" thickBot="1">
      <c r="C32" s="135" t="s">
        <v>18</v>
      </c>
      <c r="D32" s="136"/>
      <c r="E32" s="132">
        <v>1</v>
      </c>
      <c r="F32" s="133">
        <v>1</v>
      </c>
      <c r="G32" s="134">
        <v>1</v>
      </c>
      <c r="H32" s="10">
        <f t="shared" si="8"/>
        <v>1</v>
      </c>
      <c r="I32" s="99" t="str">
        <f t="shared" si="9"/>
        <v>BUY</v>
      </c>
      <c r="J32" s="87"/>
      <c r="K32" s="151" t="s">
        <v>19</v>
      </c>
      <c r="L32" s="152"/>
      <c r="M32" s="97">
        <f>IFERROR(MODE(H32:H34),"")</f>
        <v>1</v>
      </c>
      <c r="N32" s="98" t="str">
        <f>IF(E34="","",IF(M32=1,"BUY",IF(M32=-1,"SELL",IF(M32=0,"Neutral","?"))))</f>
        <v>BUY</v>
      </c>
      <c r="O32" s="95" t="str">
        <f>IF(M32="","",IF(I32="BUY",IF(AND(I33="BUY",I34="BUY"),"STRONG",IF(OR(I33="BUY",I34="BUY"),"MEDIUM","WEAK")),IF(I32="SELL",IF(AND(I33="SELL",I34="SELL"),"STRONG",IF(OR(I33="SELL",I34="SELL"),"MEDIUM","WEAK")),"WEAK")))</f>
        <v>MEDIUM</v>
      </c>
    </row>
    <row r="33" spans="3:15" ht="32.25" thickBot="1">
      <c r="C33" s="135" t="s">
        <v>21</v>
      </c>
      <c r="D33" s="136"/>
      <c r="E33" s="132">
        <v>1</v>
      </c>
      <c r="F33" s="133">
        <v>1</v>
      </c>
      <c r="G33" s="134">
        <v>1</v>
      </c>
      <c r="H33" s="10">
        <f t="shared" si="8"/>
        <v>1</v>
      </c>
      <c r="I33" s="99" t="str">
        <f t="shared" si="9"/>
        <v>BUY</v>
      </c>
      <c r="J33" s="87"/>
      <c r="K33" s="144" t="s">
        <v>22</v>
      </c>
      <c r="L33" s="145"/>
      <c r="M33" s="101"/>
      <c r="N33" s="146" t="str">
        <f>IF(N28=N30,N28,"Anchor")</f>
        <v>Anchor</v>
      </c>
      <c r="O33" s="147"/>
    </row>
    <row r="34" spans="3:15" ht="32.25" thickBot="1">
      <c r="C34" s="137" t="s">
        <v>23</v>
      </c>
      <c r="D34" s="138"/>
      <c r="E34" s="132">
        <v>0</v>
      </c>
      <c r="F34" s="133">
        <v>-1</v>
      </c>
      <c r="G34" s="134">
        <v>1</v>
      </c>
      <c r="H34" s="10" t="str">
        <f t="shared" si="8"/>
        <v/>
      </c>
      <c r="I34" s="102" t="str">
        <f t="shared" si="9"/>
        <v>?</v>
      </c>
      <c r="J34" s="87"/>
      <c r="K34" s="144" t="s">
        <v>24</v>
      </c>
      <c r="L34" s="153"/>
      <c r="M34" s="105"/>
      <c r="N34" s="110" t="str">
        <f>IF(H34="","No",IF(N32="?","No",IF(N32="Neutral","Wait",IF(F33&lt;H32,"Wait",IF(F33&gt;H32,"Wait",IF(M32=M28,"YES",IF(I34=I32,"SCALP","NO")))))))</f>
        <v>No</v>
      </c>
      <c r="O34" s="111">
        <f>R46</f>
        <v>0</v>
      </c>
    </row>
    <row r="35" spans="3:15" ht="32.25" thickBot="1">
      <c r="C35" s="156" t="s">
        <v>26</v>
      </c>
      <c r="D35" s="157"/>
      <c r="E35" s="157"/>
      <c r="F35" s="157"/>
      <c r="G35" s="157"/>
      <c r="H35" s="157"/>
      <c r="I35" s="157"/>
      <c r="J35" s="88"/>
      <c r="K35" s="158" t="s">
        <v>27</v>
      </c>
      <c r="L35" s="158"/>
      <c r="M35" s="159" t="str">
        <f>IF(I32="","",IF(N30=N28,"GOOD","Min"))</f>
        <v>Min</v>
      </c>
      <c r="N35" s="159"/>
      <c r="O35" s="160"/>
    </row>
  </sheetData>
  <mergeCells count="50">
    <mergeCell ref="K10:L10"/>
    <mergeCell ref="C11:I11"/>
    <mergeCell ref="K11:L11"/>
    <mergeCell ref="M11:O11"/>
    <mergeCell ref="Y3:Z3"/>
    <mergeCell ref="Y4:Z4"/>
    <mergeCell ref="Y6:Z6"/>
    <mergeCell ref="Y8:Z8"/>
    <mergeCell ref="Y9:Z9"/>
    <mergeCell ref="K3:L3"/>
    <mergeCell ref="K4:L4"/>
    <mergeCell ref="K6:L6"/>
    <mergeCell ref="K8:L8"/>
    <mergeCell ref="K9:L9"/>
    <mergeCell ref="N9:O9"/>
    <mergeCell ref="AB9:AC9"/>
    <mergeCell ref="Y10:Z10"/>
    <mergeCell ref="Q11:W11"/>
    <mergeCell ref="Y11:Z11"/>
    <mergeCell ref="AA11:AC11"/>
    <mergeCell ref="K27:L27"/>
    <mergeCell ref="C23:I23"/>
    <mergeCell ref="K23:L23"/>
    <mergeCell ref="M23:O23"/>
    <mergeCell ref="Y15:Z15"/>
    <mergeCell ref="Y16:Z16"/>
    <mergeCell ref="Y18:Z18"/>
    <mergeCell ref="Y20:Z20"/>
    <mergeCell ref="Y21:Z21"/>
    <mergeCell ref="K16:L16"/>
    <mergeCell ref="K18:L18"/>
    <mergeCell ref="K20:L20"/>
    <mergeCell ref="K21:L21"/>
    <mergeCell ref="N21:O21"/>
    <mergeCell ref="K22:L22"/>
    <mergeCell ref="K15:L15"/>
    <mergeCell ref="AB21:AC21"/>
    <mergeCell ref="Y22:Z22"/>
    <mergeCell ref="Q23:W23"/>
    <mergeCell ref="Y23:Z23"/>
    <mergeCell ref="AA23:AC23"/>
    <mergeCell ref="C35:I35"/>
    <mergeCell ref="K35:L35"/>
    <mergeCell ref="M35:O35"/>
    <mergeCell ref="K28:L28"/>
    <mergeCell ref="K30:L30"/>
    <mergeCell ref="K32:L32"/>
    <mergeCell ref="K33:L33"/>
    <mergeCell ref="N33:O33"/>
    <mergeCell ref="K34:L34"/>
  </mergeCells>
  <conditionalFormatting sqref="W4:Y4 X5:AC5 W5:W10 X6:Y6 X7:AC7 AA9">
    <cfRule type="cellIs" dxfId="265" priority="145" operator="equal">
      <formula>"SELL"</formula>
    </cfRule>
  </conditionalFormatting>
  <conditionalFormatting sqref="W4:Y4 AA4:AB4 X5:AC5 W5:W10 X6:Y6 AA6:AB6 X7:AC7 AA8:AB8 X8:Y10 AA9 AB10">
    <cfRule type="cellIs" dxfId="264" priority="144" operator="equal">
      <formula>"BUY"</formula>
    </cfRule>
  </conditionalFormatting>
  <conditionalFormatting sqref="X8:Y11">
    <cfRule type="cellIs" dxfId="263" priority="141" operator="equal">
      <formula>"SELL"</formula>
    </cfRule>
  </conditionalFormatting>
  <conditionalFormatting sqref="X11:Y11">
    <cfRule type="cellIs" dxfId="262" priority="140" operator="equal">
      <formula>"BUY"</formula>
    </cfRule>
  </conditionalFormatting>
  <conditionalFormatting sqref="Y3">
    <cfRule type="cellIs" dxfId="261" priority="134" operator="equal">
      <formula>"BUY"</formula>
    </cfRule>
    <cfRule type="cellIs" dxfId="260" priority="135" operator="equal">
      <formula>"SELL"</formula>
    </cfRule>
  </conditionalFormatting>
  <conditionalFormatting sqref="AA11">
    <cfRule type="cellIs" dxfId="259" priority="136" operator="equal">
      <formula>"YES"</formula>
    </cfRule>
    <cfRule type="cellIs" dxfId="258" priority="137" operator="equal">
      <formula>"NO"</formula>
    </cfRule>
    <cfRule type="cellIs" dxfId="257" priority="138" operator="equal">
      <formula>"BUY"</formula>
    </cfRule>
    <cfRule type="cellIs" dxfId="256" priority="139" operator="equal">
      <formula>"SELL"</formula>
    </cfRule>
  </conditionalFormatting>
  <conditionalFormatting sqref="AA4:AC4">
    <cfRule type="cellIs" dxfId="255" priority="133" operator="equal">
      <formula>"SELL"</formula>
    </cfRule>
  </conditionalFormatting>
  <conditionalFormatting sqref="AA6:AC6">
    <cfRule type="cellIs" dxfId="254" priority="128" operator="equal">
      <formula>"SELL"</formula>
    </cfRule>
  </conditionalFormatting>
  <conditionalFormatting sqref="AA8:AC8">
    <cfRule type="cellIs" dxfId="253" priority="123" operator="equal">
      <formula>"SELL"</formula>
    </cfRule>
  </conditionalFormatting>
  <conditionalFormatting sqref="AB9">
    <cfRule type="cellIs" dxfId="252" priority="117" operator="equal">
      <formula>"BUY"</formula>
    </cfRule>
  </conditionalFormatting>
  <conditionalFormatting sqref="AB9:AB10">
    <cfRule type="cellIs" dxfId="251" priority="118" operator="equal">
      <formula>"SELL"</formula>
    </cfRule>
  </conditionalFormatting>
  <conditionalFormatting sqref="AB10">
    <cfRule type="cellIs" dxfId="250" priority="142" operator="equal">
      <formula>"YES"</formula>
    </cfRule>
    <cfRule type="cellIs" dxfId="249" priority="143" operator="equal">
      <formula>"NO"</formula>
    </cfRule>
  </conditionalFormatting>
  <conditionalFormatting sqref="AC4">
    <cfRule type="cellIs" dxfId="248" priority="129" operator="equal">
      <formula>"WEAK"</formula>
    </cfRule>
    <cfRule type="cellIs" dxfId="247" priority="130" operator="equal">
      <formula>"MEDIUM"</formula>
    </cfRule>
    <cfRule type="cellIs" dxfId="246" priority="131" operator="equal">
      <formula>"STRONG"</formula>
    </cfRule>
    <cfRule type="cellIs" dxfId="245" priority="132" operator="equal">
      <formula>"BUY"</formula>
    </cfRule>
  </conditionalFormatting>
  <conditionalFormatting sqref="AC6">
    <cfRule type="cellIs" dxfId="244" priority="124" operator="equal">
      <formula>"WEAK"</formula>
    </cfRule>
    <cfRule type="cellIs" dxfId="243" priority="125" operator="equal">
      <formula>"MEDIUM"</formula>
    </cfRule>
    <cfRule type="cellIs" dxfId="242" priority="126" operator="equal">
      <formula>"STRONG"</formula>
    </cfRule>
    <cfRule type="cellIs" dxfId="241" priority="127" operator="equal">
      <formula>"BUY"</formula>
    </cfRule>
  </conditionalFormatting>
  <conditionalFormatting sqref="AC8">
    <cfRule type="cellIs" dxfId="240" priority="119" operator="equal">
      <formula>"WEAK"</formula>
    </cfRule>
    <cfRule type="cellIs" dxfId="239" priority="120" operator="equal">
      <formula>"MEDIUM"</formula>
    </cfRule>
    <cfRule type="cellIs" dxfId="238" priority="121" operator="equal">
      <formula>"STRONG"</formula>
    </cfRule>
    <cfRule type="cellIs" dxfId="237" priority="122" operator="equal">
      <formula>"BUY"</formula>
    </cfRule>
  </conditionalFormatting>
  <conditionalFormatting sqref="I16:K16 J17:O17 I17:I22 J18:K18 J19:O19 M21">
    <cfRule type="cellIs" dxfId="236" priority="116" operator="equal">
      <formula>"SELL"</formula>
    </cfRule>
  </conditionalFormatting>
  <conditionalFormatting sqref="I16:K16 M16:N16 J17:O17 I17:I22 J18:K18 M18:N18 J19:O19 M20:N20 J20:K22 M21 N22">
    <cfRule type="cellIs" dxfId="235" priority="115" operator="equal">
      <formula>"BUY"</formula>
    </cfRule>
  </conditionalFormatting>
  <conditionalFormatting sqref="J20:K23">
    <cfRule type="cellIs" dxfId="234" priority="112" operator="equal">
      <formula>"SELL"</formula>
    </cfRule>
  </conditionalFormatting>
  <conditionalFormatting sqref="J23:K23">
    <cfRule type="cellIs" dxfId="233" priority="111" operator="equal">
      <formula>"BUY"</formula>
    </cfRule>
  </conditionalFormatting>
  <conditionalFormatting sqref="K15">
    <cfRule type="cellIs" dxfId="232" priority="105" operator="equal">
      <formula>"BUY"</formula>
    </cfRule>
    <cfRule type="cellIs" dxfId="231" priority="106" operator="equal">
      <formula>"SELL"</formula>
    </cfRule>
  </conditionalFormatting>
  <conditionalFormatting sqref="M23">
    <cfRule type="cellIs" dxfId="230" priority="107" operator="equal">
      <formula>"YES"</formula>
    </cfRule>
    <cfRule type="cellIs" dxfId="229" priority="108" operator="equal">
      <formula>"NO"</formula>
    </cfRule>
    <cfRule type="cellIs" dxfId="228" priority="109" operator="equal">
      <formula>"BUY"</formula>
    </cfRule>
    <cfRule type="cellIs" dxfId="227" priority="110" operator="equal">
      <formula>"SELL"</formula>
    </cfRule>
  </conditionalFormatting>
  <conditionalFormatting sqref="M16:O16">
    <cfRule type="cellIs" dxfId="226" priority="104" operator="equal">
      <formula>"SELL"</formula>
    </cfRule>
  </conditionalFormatting>
  <conditionalFormatting sqref="M18:O18">
    <cfRule type="cellIs" dxfId="225" priority="99" operator="equal">
      <formula>"SELL"</formula>
    </cfRule>
  </conditionalFormatting>
  <conditionalFormatting sqref="M20:O20">
    <cfRule type="cellIs" dxfId="224" priority="94" operator="equal">
      <formula>"SELL"</formula>
    </cfRule>
  </conditionalFormatting>
  <conditionalFormatting sqref="N21">
    <cfRule type="cellIs" dxfId="223" priority="88" operator="equal">
      <formula>"BUY"</formula>
    </cfRule>
  </conditionalFormatting>
  <conditionalFormatting sqref="N21:N22">
    <cfRule type="cellIs" dxfId="222" priority="89" operator="equal">
      <formula>"SELL"</formula>
    </cfRule>
  </conditionalFormatting>
  <conditionalFormatting sqref="N22">
    <cfRule type="cellIs" dxfId="221" priority="113" operator="equal">
      <formula>"YES"</formula>
    </cfRule>
    <cfRule type="cellIs" dxfId="220" priority="114" operator="equal">
      <formula>"NO"</formula>
    </cfRule>
  </conditionalFormatting>
  <conditionalFormatting sqref="O16">
    <cfRule type="cellIs" dxfId="219" priority="100" operator="equal">
      <formula>"WEAK"</formula>
    </cfRule>
    <cfRule type="cellIs" dxfId="218" priority="101" operator="equal">
      <formula>"MEDIUM"</formula>
    </cfRule>
    <cfRule type="cellIs" dxfId="217" priority="102" operator="equal">
      <formula>"STRONG"</formula>
    </cfRule>
    <cfRule type="cellIs" dxfId="216" priority="103" operator="equal">
      <formula>"BUY"</formula>
    </cfRule>
  </conditionalFormatting>
  <conditionalFormatting sqref="O18">
    <cfRule type="cellIs" dxfId="215" priority="95" operator="equal">
      <formula>"WEAK"</formula>
    </cfRule>
    <cfRule type="cellIs" dxfId="214" priority="96" operator="equal">
      <formula>"MEDIUM"</formula>
    </cfRule>
    <cfRule type="cellIs" dxfId="213" priority="97" operator="equal">
      <formula>"STRONG"</formula>
    </cfRule>
    <cfRule type="cellIs" dxfId="212" priority="98" operator="equal">
      <formula>"BUY"</formula>
    </cfRule>
  </conditionalFormatting>
  <conditionalFormatting sqref="O20">
    <cfRule type="cellIs" dxfId="211" priority="90" operator="equal">
      <formula>"WEAK"</formula>
    </cfRule>
    <cfRule type="cellIs" dxfId="210" priority="91" operator="equal">
      <formula>"MEDIUM"</formula>
    </cfRule>
    <cfRule type="cellIs" dxfId="209" priority="92" operator="equal">
      <formula>"STRONG"</formula>
    </cfRule>
    <cfRule type="cellIs" dxfId="208" priority="93" operator="equal">
      <formula>"BUY"</formula>
    </cfRule>
  </conditionalFormatting>
  <conditionalFormatting sqref="W16:Y16 X17:AC17 W17:W22 X18:Y18 X19:AC19 AA21">
    <cfRule type="cellIs" dxfId="207" priority="87" operator="equal">
      <formula>"SELL"</formula>
    </cfRule>
  </conditionalFormatting>
  <conditionalFormatting sqref="W16:Y16 AA16:AB16 X17:AC17 W17:W22 X18:Y18 AA18:AB18 X19:AC19 AA20:AB20 X20:Y22 AA21 AB22">
    <cfRule type="cellIs" dxfId="206" priority="86" operator="equal">
      <formula>"BUY"</formula>
    </cfRule>
  </conditionalFormatting>
  <conditionalFormatting sqref="X20:Y23">
    <cfRule type="cellIs" dxfId="205" priority="83" operator="equal">
      <formula>"SELL"</formula>
    </cfRule>
  </conditionalFormatting>
  <conditionalFormatting sqref="X23:Y23">
    <cfRule type="cellIs" dxfId="204" priority="82" operator="equal">
      <formula>"BUY"</formula>
    </cfRule>
  </conditionalFormatting>
  <conditionalFormatting sqref="Y15">
    <cfRule type="cellIs" dxfId="203" priority="76" operator="equal">
      <formula>"BUY"</formula>
    </cfRule>
    <cfRule type="cellIs" dxfId="202" priority="77" operator="equal">
      <formula>"SELL"</formula>
    </cfRule>
  </conditionalFormatting>
  <conditionalFormatting sqref="AA23">
    <cfRule type="cellIs" dxfId="201" priority="78" operator="equal">
      <formula>"YES"</formula>
    </cfRule>
    <cfRule type="cellIs" dxfId="200" priority="79" operator="equal">
      <formula>"NO"</formula>
    </cfRule>
    <cfRule type="cellIs" dxfId="199" priority="80" operator="equal">
      <formula>"BUY"</formula>
    </cfRule>
    <cfRule type="cellIs" dxfId="198" priority="81" operator="equal">
      <formula>"SELL"</formula>
    </cfRule>
  </conditionalFormatting>
  <conditionalFormatting sqref="AA16:AC16">
    <cfRule type="cellIs" dxfId="197" priority="75" operator="equal">
      <formula>"SELL"</formula>
    </cfRule>
  </conditionalFormatting>
  <conditionalFormatting sqref="AA18:AC18">
    <cfRule type="cellIs" dxfId="196" priority="70" operator="equal">
      <formula>"SELL"</formula>
    </cfRule>
  </conditionalFormatting>
  <conditionalFormatting sqref="AA20:AC20">
    <cfRule type="cellIs" dxfId="195" priority="65" operator="equal">
      <formula>"SELL"</formula>
    </cfRule>
  </conditionalFormatting>
  <conditionalFormatting sqref="AB21">
    <cfRule type="cellIs" dxfId="194" priority="59" operator="equal">
      <formula>"BUY"</formula>
    </cfRule>
  </conditionalFormatting>
  <conditionalFormatting sqref="AB21:AB22">
    <cfRule type="cellIs" dxfId="193" priority="60" operator="equal">
      <formula>"SELL"</formula>
    </cfRule>
  </conditionalFormatting>
  <conditionalFormatting sqref="AB22">
    <cfRule type="cellIs" dxfId="192" priority="84" operator="equal">
      <formula>"YES"</formula>
    </cfRule>
    <cfRule type="cellIs" dxfId="191" priority="85" operator="equal">
      <formula>"NO"</formula>
    </cfRule>
  </conditionalFormatting>
  <conditionalFormatting sqref="AC16">
    <cfRule type="cellIs" dxfId="190" priority="71" operator="equal">
      <formula>"WEAK"</formula>
    </cfRule>
    <cfRule type="cellIs" dxfId="189" priority="72" operator="equal">
      <formula>"MEDIUM"</formula>
    </cfRule>
    <cfRule type="cellIs" dxfId="188" priority="73" operator="equal">
      <formula>"STRONG"</formula>
    </cfRule>
    <cfRule type="cellIs" dxfId="187" priority="74" operator="equal">
      <formula>"BUY"</formula>
    </cfRule>
  </conditionalFormatting>
  <conditionalFormatting sqref="AC18">
    <cfRule type="cellIs" dxfId="186" priority="66" operator="equal">
      <formula>"WEAK"</formula>
    </cfRule>
    <cfRule type="cellIs" dxfId="185" priority="67" operator="equal">
      <formula>"MEDIUM"</formula>
    </cfRule>
    <cfRule type="cellIs" dxfId="184" priority="68" operator="equal">
      <formula>"STRONG"</formula>
    </cfRule>
    <cfRule type="cellIs" dxfId="183" priority="69" operator="equal">
      <formula>"BUY"</formula>
    </cfRule>
  </conditionalFormatting>
  <conditionalFormatting sqref="AC20">
    <cfRule type="cellIs" dxfId="182" priority="61" operator="equal">
      <formula>"WEAK"</formula>
    </cfRule>
    <cfRule type="cellIs" dxfId="181" priority="62" operator="equal">
      <formula>"MEDIUM"</formula>
    </cfRule>
    <cfRule type="cellIs" dxfId="180" priority="63" operator="equal">
      <formula>"STRONG"</formula>
    </cfRule>
    <cfRule type="cellIs" dxfId="179" priority="64" operator="equal">
      <formula>"BUY"</formula>
    </cfRule>
  </conditionalFormatting>
  <conditionalFormatting sqref="I28:K28 J29:O29 I29:I34 J30:K30 J31:O31 M33">
    <cfRule type="cellIs" dxfId="178" priority="58" operator="equal">
      <formula>"SELL"</formula>
    </cfRule>
  </conditionalFormatting>
  <conditionalFormatting sqref="I28:K28 M28:N28 J29:O29 I29:I34 J30:K30 M30:N30 J31:O31 M32:N32 J32:K34 M33 N34">
    <cfRule type="cellIs" dxfId="177" priority="57" operator="equal">
      <formula>"BUY"</formula>
    </cfRule>
  </conditionalFormatting>
  <conditionalFormatting sqref="J32:K35">
    <cfRule type="cellIs" dxfId="176" priority="54" operator="equal">
      <formula>"SELL"</formula>
    </cfRule>
  </conditionalFormatting>
  <conditionalFormatting sqref="J35:K35">
    <cfRule type="cellIs" dxfId="175" priority="53" operator="equal">
      <formula>"BUY"</formula>
    </cfRule>
  </conditionalFormatting>
  <conditionalFormatting sqref="K27">
    <cfRule type="cellIs" dxfId="174" priority="47" operator="equal">
      <formula>"BUY"</formula>
    </cfRule>
    <cfRule type="cellIs" dxfId="173" priority="48" operator="equal">
      <formula>"SELL"</formula>
    </cfRule>
  </conditionalFormatting>
  <conditionalFormatting sqref="M35">
    <cfRule type="cellIs" dxfId="172" priority="49" operator="equal">
      <formula>"YES"</formula>
    </cfRule>
    <cfRule type="cellIs" dxfId="171" priority="50" operator="equal">
      <formula>"NO"</formula>
    </cfRule>
    <cfRule type="cellIs" dxfId="170" priority="51" operator="equal">
      <formula>"BUY"</formula>
    </cfRule>
    <cfRule type="cellIs" dxfId="169" priority="52" operator="equal">
      <formula>"SELL"</formula>
    </cfRule>
  </conditionalFormatting>
  <conditionalFormatting sqref="M28:O28">
    <cfRule type="cellIs" dxfId="168" priority="46" operator="equal">
      <formula>"SELL"</formula>
    </cfRule>
  </conditionalFormatting>
  <conditionalFormatting sqref="M30:O30">
    <cfRule type="cellIs" dxfId="167" priority="41" operator="equal">
      <formula>"SELL"</formula>
    </cfRule>
  </conditionalFormatting>
  <conditionalFormatting sqref="M32:O32">
    <cfRule type="cellIs" dxfId="166" priority="36" operator="equal">
      <formula>"SELL"</formula>
    </cfRule>
  </conditionalFormatting>
  <conditionalFormatting sqref="N33">
    <cfRule type="cellIs" dxfId="165" priority="30" operator="equal">
      <formula>"BUY"</formula>
    </cfRule>
  </conditionalFormatting>
  <conditionalFormatting sqref="N33:N34">
    <cfRule type="cellIs" dxfId="164" priority="31" operator="equal">
      <formula>"SELL"</formula>
    </cfRule>
  </conditionalFormatting>
  <conditionalFormatting sqref="N34">
    <cfRule type="cellIs" dxfId="163" priority="55" operator="equal">
      <formula>"YES"</formula>
    </cfRule>
    <cfRule type="cellIs" dxfId="162" priority="56" operator="equal">
      <formula>"NO"</formula>
    </cfRule>
  </conditionalFormatting>
  <conditionalFormatting sqref="O28">
    <cfRule type="cellIs" dxfId="161" priority="42" operator="equal">
      <formula>"WEAK"</formula>
    </cfRule>
    <cfRule type="cellIs" dxfId="160" priority="43" operator="equal">
      <formula>"MEDIUM"</formula>
    </cfRule>
    <cfRule type="cellIs" dxfId="159" priority="44" operator="equal">
      <formula>"STRONG"</formula>
    </cfRule>
    <cfRule type="cellIs" dxfId="158" priority="45" operator="equal">
      <formula>"BUY"</formula>
    </cfRule>
  </conditionalFormatting>
  <conditionalFormatting sqref="O30">
    <cfRule type="cellIs" dxfId="157" priority="37" operator="equal">
      <formula>"WEAK"</formula>
    </cfRule>
    <cfRule type="cellIs" dxfId="156" priority="38" operator="equal">
      <formula>"MEDIUM"</formula>
    </cfRule>
    <cfRule type="cellIs" dxfId="155" priority="39" operator="equal">
      <formula>"STRONG"</formula>
    </cfRule>
    <cfRule type="cellIs" dxfId="154" priority="40" operator="equal">
      <formula>"BUY"</formula>
    </cfRule>
  </conditionalFormatting>
  <conditionalFormatting sqref="O32">
    <cfRule type="cellIs" dxfId="153" priority="32" operator="equal">
      <formula>"WEAK"</formula>
    </cfRule>
    <cfRule type="cellIs" dxfId="152" priority="33" operator="equal">
      <formula>"MEDIUM"</formula>
    </cfRule>
    <cfRule type="cellIs" dxfId="151" priority="34" operator="equal">
      <formula>"STRONG"</formula>
    </cfRule>
    <cfRule type="cellIs" dxfId="150" priority="35" operator="equal">
      <formula>"BUY"</formula>
    </cfRule>
  </conditionalFormatting>
  <conditionalFormatting sqref="I4:K4 J5:O5 I5:I10 J6:K6 J7:O7 M9">
    <cfRule type="cellIs" dxfId="149" priority="29" operator="equal">
      <formula>"SELL"</formula>
    </cfRule>
  </conditionalFormatting>
  <conditionalFormatting sqref="I4:K4 M4:N4 J5:O5 I5:I10 J6:K6 M6:N6 J7:O7 M8:N8 J8:K10 M9 N10">
    <cfRule type="cellIs" dxfId="148" priority="28" operator="equal">
      <formula>"BUY"</formula>
    </cfRule>
  </conditionalFormatting>
  <conditionalFormatting sqref="J8:K11">
    <cfRule type="cellIs" dxfId="147" priority="25" operator="equal">
      <formula>"SELL"</formula>
    </cfRule>
  </conditionalFormatting>
  <conditionalFormatting sqref="J11:K11">
    <cfRule type="cellIs" dxfId="146" priority="24" operator="equal">
      <formula>"BUY"</formula>
    </cfRule>
  </conditionalFormatting>
  <conditionalFormatting sqref="K3">
    <cfRule type="cellIs" dxfId="145" priority="18" operator="equal">
      <formula>"BUY"</formula>
    </cfRule>
    <cfRule type="cellIs" dxfId="144" priority="19" operator="equal">
      <formula>"SELL"</formula>
    </cfRule>
  </conditionalFormatting>
  <conditionalFormatting sqref="M11">
    <cfRule type="cellIs" dxfId="143" priority="20" operator="equal">
      <formula>"YES"</formula>
    </cfRule>
    <cfRule type="cellIs" dxfId="142" priority="21" operator="equal">
      <formula>"NO"</formula>
    </cfRule>
    <cfRule type="cellIs" dxfId="141" priority="22" operator="equal">
      <formula>"BUY"</formula>
    </cfRule>
    <cfRule type="cellIs" dxfId="140" priority="23" operator="equal">
      <formula>"SELL"</formula>
    </cfRule>
  </conditionalFormatting>
  <conditionalFormatting sqref="M4:O4">
    <cfRule type="cellIs" dxfId="139" priority="17" operator="equal">
      <formula>"SELL"</formula>
    </cfRule>
  </conditionalFormatting>
  <conditionalFormatting sqref="M6:O6">
    <cfRule type="cellIs" dxfId="138" priority="12" operator="equal">
      <formula>"SELL"</formula>
    </cfRule>
  </conditionalFormatting>
  <conditionalFormatting sqref="M8:O8">
    <cfRule type="cellIs" dxfId="137" priority="7" operator="equal">
      <formula>"SELL"</formula>
    </cfRule>
  </conditionalFormatting>
  <conditionalFormatting sqref="N9">
    <cfRule type="cellIs" dxfId="136" priority="1" operator="equal">
      <formula>"BUY"</formula>
    </cfRule>
  </conditionalFormatting>
  <conditionalFormatting sqref="N9:N10">
    <cfRule type="cellIs" dxfId="135" priority="2" operator="equal">
      <formula>"SELL"</formula>
    </cfRule>
  </conditionalFormatting>
  <conditionalFormatting sqref="N10">
    <cfRule type="cellIs" dxfId="134" priority="26" operator="equal">
      <formula>"YES"</formula>
    </cfRule>
    <cfRule type="cellIs" dxfId="133" priority="27" operator="equal">
      <formula>"NO"</formula>
    </cfRule>
  </conditionalFormatting>
  <conditionalFormatting sqref="O4">
    <cfRule type="cellIs" dxfId="132" priority="13" operator="equal">
      <formula>"WEAK"</formula>
    </cfRule>
    <cfRule type="cellIs" dxfId="131" priority="14" operator="equal">
      <formula>"MEDIUM"</formula>
    </cfRule>
    <cfRule type="cellIs" dxfId="130" priority="15" operator="equal">
      <formula>"STRONG"</formula>
    </cfRule>
    <cfRule type="cellIs" dxfId="129" priority="16" operator="equal">
      <formula>"BUY"</formula>
    </cfRule>
  </conditionalFormatting>
  <conditionalFormatting sqref="O6">
    <cfRule type="cellIs" dxfId="128" priority="8" operator="equal">
      <formula>"WEAK"</formula>
    </cfRule>
    <cfRule type="cellIs" dxfId="127" priority="9" operator="equal">
      <formula>"MEDIUM"</formula>
    </cfRule>
    <cfRule type="cellIs" dxfId="126" priority="10" operator="equal">
      <formula>"STRONG"</formula>
    </cfRule>
    <cfRule type="cellIs" dxfId="125" priority="11" operator="equal">
      <formula>"BUY"</formula>
    </cfRule>
  </conditionalFormatting>
  <conditionalFormatting sqref="O8">
    <cfRule type="cellIs" dxfId="124" priority="3" operator="equal">
      <formula>"WEAK"</formula>
    </cfRule>
    <cfRule type="cellIs" dxfId="123" priority="4" operator="equal">
      <formula>"MEDIUM"</formula>
    </cfRule>
    <cfRule type="cellIs" dxfId="122" priority="5" operator="equal">
      <formula>"STRONG"</formula>
    </cfRule>
    <cfRule type="cellIs" dxfId="121" priority="6" operator="equal">
      <formula>"BUY"</formula>
    </cfRule>
  </conditionalFormatting>
  <dataValidations count="1">
    <dataValidation type="list" allowBlank="1" showInputMessage="1" showErrorMessage="1" sqref="D28:G34 R4:U10 D16:G22 R16:U22 D4:G10" xr:uid="{39FF00F2-B165-4794-8856-83A70A01631F}">
      <formula1>"1,0,-1"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B8C1-ADC6-4CA6-9A21-1C49D7721755}">
  <dimension ref="C2:AC23"/>
  <sheetViews>
    <sheetView workbookViewId="0">
      <selection activeCell="AE10" sqref="AE10"/>
    </sheetView>
  </sheetViews>
  <sheetFormatPr defaultRowHeight="15"/>
  <cols>
    <col min="3" max="3" width="14.5703125" bestFit="1" customWidth="1"/>
    <col min="4" max="4" width="11.7109375" bestFit="1" customWidth="1"/>
    <col min="8" max="8" width="14.5703125" bestFit="1" customWidth="1"/>
    <col min="9" max="9" width="16.28515625" customWidth="1"/>
    <col min="14" max="14" width="16" bestFit="1" customWidth="1"/>
    <col min="15" max="15" width="12.5703125" bestFit="1" customWidth="1"/>
    <col min="17" max="17" width="14.5703125" bestFit="1" customWidth="1"/>
    <col min="18" max="18" width="11.7109375" bestFit="1" customWidth="1"/>
    <col min="19" max="19" width="5.5703125" bestFit="1" customWidth="1"/>
    <col min="22" max="22" width="14.5703125" bestFit="1" customWidth="1"/>
    <col min="23" max="23" width="16" bestFit="1" customWidth="1"/>
    <col min="28" max="28" width="16" bestFit="1" customWidth="1"/>
    <col min="29" max="29" width="12.42578125" customWidth="1"/>
  </cols>
  <sheetData>
    <row r="2" spans="3:29" ht="51" customHeight="1" thickBot="1">
      <c r="C2" s="140" t="s">
        <v>50</v>
      </c>
      <c r="Q2" s="140" t="s">
        <v>54</v>
      </c>
    </row>
    <row r="3" spans="3:29" ht="32.25" thickBot="1">
      <c r="C3" s="127"/>
      <c r="D3" s="128" t="s">
        <v>0</v>
      </c>
      <c r="E3" s="129" t="s">
        <v>1</v>
      </c>
      <c r="F3" s="130" t="s">
        <v>2</v>
      </c>
      <c r="G3" s="129" t="s">
        <v>3</v>
      </c>
      <c r="H3" s="103" t="s">
        <v>4</v>
      </c>
      <c r="I3" s="103" t="s">
        <v>5</v>
      </c>
      <c r="J3" s="89"/>
      <c r="K3" s="148" t="s">
        <v>6</v>
      </c>
      <c r="L3" s="148"/>
      <c r="M3" s="89"/>
      <c r="N3" s="89"/>
      <c r="O3" s="90"/>
      <c r="Q3" s="127"/>
      <c r="R3" s="128" t="s">
        <v>0</v>
      </c>
      <c r="S3" s="129" t="s">
        <v>1</v>
      </c>
      <c r="T3" s="130" t="s">
        <v>2</v>
      </c>
      <c r="U3" s="129" t="s">
        <v>3</v>
      </c>
      <c r="V3" s="103" t="s">
        <v>4</v>
      </c>
      <c r="W3" s="103" t="s">
        <v>5</v>
      </c>
      <c r="X3" s="89"/>
      <c r="Y3" s="148" t="s">
        <v>6</v>
      </c>
      <c r="Z3" s="148"/>
      <c r="AA3" s="89"/>
      <c r="AB3" s="89"/>
      <c r="AC3" s="90"/>
    </row>
    <row r="4" spans="3:29" ht="32.25" thickBot="1">
      <c r="C4" s="131" t="s">
        <v>8</v>
      </c>
      <c r="D4" s="132">
        <v>1</v>
      </c>
      <c r="E4" s="132">
        <v>1</v>
      </c>
      <c r="F4" s="133">
        <v>0</v>
      </c>
      <c r="G4" s="134">
        <v>1</v>
      </c>
      <c r="H4" s="10">
        <f>IFERROR(MODE(D4:G4),"")</f>
        <v>1</v>
      </c>
      <c r="I4" s="96" t="str">
        <f>IF(E4="","",IF(H4=1,"BUY",IF(H4=-1,"SELL",IF(H4=0,"Neutral","?"))))</f>
        <v>BUY</v>
      </c>
      <c r="J4" s="87"/>
      <c r="K4" s="151" t="s">
        <v>9</v>
      </c>
      <c r="L4" s="152"/>
      <c r="M4" s="97">
        <f>IFERROR(MODE(H4:H6),"")</f>
        <v>0</v>
      </c>
      <c r="N4" s="98" t="str">
        <f>IF(E4="","",IF(M4=1,"BUY",IF(M4=-1,"SELL",IF(M4=0,"Neutral","?"))))</f>
        <v>Neutral</v>
      </c>
      <c r="O4" s="95" t="str">
        <f>IF(M4="","",IF(I6="BUY",IF(AND(I5="BUY",I4="BUY"),"STRONG",IF(OR(I5="BUY",I4="BUY"),"MEDIUM","WEAK")),IF(I6="SELL",IF(AND(I5="SELL",I4="SELL"),"STRONG",IF(OR(I5="SELL",I4="SELL"),"MEDIUM","WEAK")),"WEAK")))</f>
        <v>WEAK</v>
      </c>
      <c r="Q4" s="131" t="s">
        <v>8</v>
      </c>
      <c r="R4" s="132">
        <v>1</v>
      </c>
      <c r="S4" s="132">
        <v>1</v>
      </c>
      <c r="T4" s="133">
        <v>-1</v>
      </c>
      <c r="U4" s="134">
        <v>1</v>
      </c>
      <c r="V4" s="10">
        <f>IFERROR(MODE(R4:U4),"")</f>
        <v>1</v>
      </c>
      <c r="W4" s="96" t="str">
        <f>IF(S4="","",IF(V4=1,"BUY",IF(V4=-1,"SELL",IF(V4=0,"Neutral","?"))))</f>
        <v>BUY</v>
      </c>
      <c r="X4" s="87"/>
      <c r="Y4" s="151" t="s">
        <v>9</v>
      </c>
      <c r="Z4" s="152"/>
      <c r="AA4" s="97">
        <f>IFERROR(MODE(V4:V6),"")</f>
        <v>1</v>
      </c>
      <c r="AB4" s="98" t="str">
        <f>IF(S4="","",IF(AA4=1,"BUY",IF(AA4=-1,"SELL",IF(AA4=0,"Neutral","?"))))</f>
        <v>BUY</v>
      </c>
      <c r="AC4" s="95" t="str">
        <f>IF(AA4="","",IF(W6="BUY",IF(AND(W5="BUY",W4="BUY"),"STRONG",IF(OR(W5="BUY",W4="BUY"),"MEDIUM","WEAK")),IF(W6="SELL",IF(AND(W5="SELL",W4="SELL"),"STRONG",IF(OR(W5="SELL",W4="SELL"),"MEDIUM","WEAK")),"WEAK")))</f>
        <v>STRONG</v>
      </c>
    </row>
    <row r="5" spans="3:29" ht="32.25" thickBot="1">
      <c r="C5" s="135" t="s">
        <v>11</v>
      </c>
      <c r="D5" s="132">
        <v>1</v>
      </c>
      <c r="E5" s="132">
        <v>0</v>
      </c>
      <c r="F5" s="133">
        <v>-1</v>
      </c>
      <c r="G5" s="134">
        <v>0</v>
      </c>
      <c r="H5" s="10">
        <f t="shared" ref="H5:H10" si="0">IFERROR(MODE(D5:G5),"")</f>
        <v>0</v>
      </c>
      <c r="I5" s="99" t="str">
        <f t="shared" ref="I5:I10" si="1">IF(E5="","",IF(H5=1,"BUY",IF(H5=-1,"SELL",IF(H5=0,"Neutral","?"))))</f>
        <v>Neutral</v>
      </c>
      <c r="J5" s="87"/>
      <c r="K5" s="104"/>
      <c r="L5" s="2"/>
      <c r="M5" s="91"/>
      <c r="N5" s="2"/>
      <c r="O5" s="65"/>
      <c r="Q5" s="135" t="s">
        <v>11</v>
      </c>
      <c r="R5" s="132">
        <v>-1</v>
      </c>
      <c r="S5" s="132">
        <v>1</v>
      </c>
      <c r="T5" s="133">
        <v>0</v>
      </c>
      <c r="U5" s="134">
        <v>1</v>
      </c>
      <c r="V5" s="10">
        <f t="shared" ref="V5:V10" si="2">IFERROR(MODE(R5:U5),"")</f>
        <v>1</v>
      </c>
      <c r="W5" s="99" t="str">
        <f t="shared" ref="W5:W10" si="3">IF(S5="","",IF(V5=1,"BUY",IF(V5=-1,"SELL",IF(V5=0,"Neutral","?"))))</f>
        <v>BUY</v>
      </c>
      <c r="X5" s="87"/>
      <c r="Y5" s="104"/>
      <c r="Z5" s="2"/>
      <c r="AA5" s="91"/>
      <c r="AB5" s="2"/>
      <c r="AC5" s="65"/>
    </row>
    <row r="6" spans="3:29" ht="32.25" thickBot="1">
      <c r="C6" s="135" t="s">
        <v>13</v>
      </c>
      <c r="D6" s="132">
        <v>1</v>
      </c>
      <c r="E6" s="132">
        <v>-1</v>
      </c>
      <c r="F6" s="133">
        <v>0</v>
      </c>
      <c r="G6" s="134">
        <v>0</v>
      </c>
      <c r="H6" s="10">
        <f t="shared" si="0"/>
        <v>0</v>
      </c>
      <c r="I6" s="99" t="str">
        <f t="shared" si="1"/>
        <v>Neutral</v>
      </c>
      <c r="J6" s="87"/>
      <c r="K6" s="151" t="s">
        <v>14</v>
      </c>
      <c r="L6" s="152"/>
      <c r="M6" s="100">
        <f>IFERROR(MODE(H6:H8),"")</f>
        <v>0</v>
      </c>
      <c r="N6" s="98" t="str">
        <f>IF(E8="","",IF(M6=1,"BUY",IF(M6=-1,"SELL",IF(M6=0,"Neutral","?"))))</f>
        <v>Neutral</v>
      </c>
      <c r="O6" s="95" t="str">
        <f>IF(M6="","",IF(I8="BUY",IF(AND(I7="BUY",I6="BUY"),"STRONG",IF(OR(I7="BUY",I6="BUY"),"MEDIUM","WEAK")),IF(I8="SELL",IF(AND(I7="SELL",I6="SELL"),"STRONG",IF(OR(I7="SELL",I6="SELL"),"MEDIUM","WEAK")),"WEAK")))</f>
        <v>WEAK</v>
      </c>
      <c r="Q6" s="135" t="s">
        <v>13</v>
      </c>
      <c r="R6" s="132">
        <v>1</v>
      </c>
      <c r="S6" s="132">
        <v>-1</v>
      </c>
      <c r="T6" s="133">
        <v>1</v>
      </c>
      <c r="U6" s="134">
        <v>0</v>
      </c>
      <c r="V6" s="10">
        <f t="shared" si="2"/>
        <v>1</v>
      </c>
      <c r="W6" s="99" t="str">
        <f t="shared" si="3"/>
        <v>BUY</v>
      </c>
      <c r="X6" s="87"/>
      <c r="Y6" s="151" t="s">
        <v>14</v>
      </c>
      <c r="Z6" s="152"/>
      <c r="AA6" s="100">
        <f>IFERROR(MODE(V6:V8),"")</f>
        <v>1</v>
      </c>
      <c r="AB6" s="98" t="str">
        <f>IF(S8="","",IF(AA6=1,"BUY",IF(AA6=-1,"SELL",IF(AA6=0,"Neutral","?"))))</f>
        <v>BUY</v>
      </c>
      <c r="AC6" s="95" t="str">
        <f>IF(AA6="","",IF(W8="BUY",IF(AND(W7="BUY",W6="BUY"),"STRONG",IF(OR(W7="BUY",W6="BUY"),"MEDIUM","WEAK")),IF(W8="SELL",IF(AND(W7="SELL",W6="SELL"),"STRONG",IF(OR(W7="SELL",W6="SELL"),"MEDIUM","WEAK")),"WEAK")))</f>
        <v>STRONG</v>
      </c>
    </row>
    <row r="7" spans="3:29" ht="32.25" thickBot="1">
      <c r="C7" s="135" t="s">
        <v>16</v>
      </c>
      <c r="D7" s="136">
        <v>1</v>
      </c>
      <c r="E7" s="132">
        <v>-1</v>
      </c>
      <c r="F7" s="133">
        <v>0</v>
      </c>
      <c r="G7" s="134">
        <v>0</v>
      </c>
      <c r="H7" s="10">
        <f t="shared" si="0"/>
        <v>0</v>
      </c>
      <c r="I7" s="99" t="str">
        <f t="shared" si="1"/>
        <v>Neutral</v>
      </c>
      <c r="J7" s="87"/>
      <c r="K7" s="104"/>
      <c r="L7" s="2"/>
      <c r="M7" s="91"/>
      <c r="N7" s="2"/>
      <c r="O7" s="65"/>
      <c r="Q7" s="135" t="s">
        <v>16</v>
      </c>
      <c r="R7" s="136">
        <v>1</v>
      </c>
      <c r="S7" s="132">
        <v>1</v>
      </c>
      <c r="T7" s="133">
        <v>1</v>
      </c>
      <c r="U7" s="134">
        <v>1</v>
      </c>
      <c r="V7" s="10">
        <f t="shared" si="2"/>
        <v>1</v>
      </c>
      <c r="W7" s="99" t="str">
        <f t="shared" si="3"/>
        <v>BUY</v>
      </c>
      <c r="X7" s="87"/>
      <c r="Y7" s="104"/>
      <c r="Z7" s="2"/>
      <c r="AA7" s="91"/>
      <c r="AB7" s="2"/>
      <c r="AC7" s="65"/>
    </row>
    <row r="8" spans="3:29" ht="32.25" thickBot="1">
      <c r="C8" s="135" t="s">
        <v>18</v>
      </c>
      <c r="D8" s="136"/>
      <c r="E8" s="132">
        <v>1</v>
      </c>
      <c r="F8" s="133">
        <v>1</v>
      </c>
      <c r="G8" s="134">
        <v>-1</v>
      </c>
      <c r="H8" s="10">
        <f t="shared" si="0"/>
        <v>1</v>
      </c>
      <c r="I8" s="99" t="str">
        <f t="shared" si="1"/>
        <v>BUY</v>
      </c>
      <c r="J8" s="87"/>
      <c r="K8" s="151" t="s">
        <v>19</v>
      </c>
      <c r="L8" s="152"/>
      <c r="M8" s="97">
        <f>IFERROR(MODE(H8:H10),"")</f>
        <v>1</v>
      </c>
      <c r="N8" s="98" t="str">
        <f>IF(E10="","",IF(M8=1,"BUY",IF(M8=-1,"SELL",IF(M8=0,"Neutral","?"))))</f>
        <v>BUY</v>
      </c>
      <c r="O8" s="95" t="str">
        <f>IF(M8="","",IF(I8="BUY",IF(AND(I9="BUY",I10="BUY"),"STRONG",IF(OR(I9="BUY",I10="BUY"),"MEDIUM","WEAK")),IF(I8="SELL",IF(AND(I9="SELL",I10="SELL"),"STRONG",IF(OR(I9="SELL",I10="SELL"),"MEDIUM","WEAK")),"WEAK")))</f>
        <v>MEDIUM</v>
      </c>
      <c r="Q8" s="135" t="s">
        <v>18</v>
      </c>
      <c r="R8" s="136"/>
      <c r="S8" s="132">
        <v>1</v>
      </c>
      <c r="T8" s="133">
        <v>1</v>
      </c>
      <c r="U8" s="134">
        <v>1</v>
      </c>
      <c r="V8" s="10">
        <f t="shared" si="2"/>
        <v>1</v>
      </c>
      <c r="W8" s="99" t="str">
        <f t="shared" si="3"/>
        <v>BUY</v>
      </c>
      <c r="X8" s="87"/>
      <c r="Y8" s="151" t="s">
        <v>19</v>
      </c>
      <c r="Z8" s="152"/>
      <c r="AA8" s="97">
        <f>IFERROR(MODE(V8:V10),"")</f>
        <v>1</v>
      </c>
      <c r="AB8" s="98" t="str">
        <f>IF(S10="","",IF(AA8=1,"BUY",IF(AA8=-1,"SELL",IF(AA8=0,"Neutral","?"))))</f>
        <v>BUY</v>
      </c>
      <c r="AC8" s="95" t="str">
        <f>IF(AA8="","",IF(W8="BUY",IF(AND(W9="BUY",W10="BUY"),"STRONG",IF(OR(W9="BUY",W10="BUY"),"MEDIUM","WEAK")),IF(W8="SELL",IF(AND(W9="SELL",W10="SELL"),"STRONG",IF(OR(W9="SELL",W10="SELL"),"MEDIUM","WEAK")),"WEAK")))</f>
        <v>STRONG</v>
      </c>
    </row>
    <row r="9" spans="3:29" ht="32.25" thickBot="1">
      <c r="C9" s="135" t="s">
        <v>21</v>
      </c>
      <c r="D9" s="136"/>
      <c r="E9" s="132">
        <v>0</v>
      </c>
      <c r="F9" s="133">
        <v>1</v>
      </c>
      <c r="G9" s="134">
        <v>0</v>
      </c>
      <c r="H9" s="10">
        <f t="shared" si="0"/>
        <v>0</v>
      </c>
      <c r="I9" s="99" t="str">
        <f t="shared" si="1"/>
        <v>Neutral</v>
      </c>
      <c r="J9" s="87"/>
      <c r="K9" s="144" t="s">
        <v>22</v>
      </c>
      <c r="L9" s="145"/>
      <c r="M9" s="101"/>
      <c r="N9" s="146" t="str">
        <f>IF(N4=N6,N4,"Anchor")</f>
        <v>Neutral</v>
      </c>
      <c r="O9" s="147"/>
      <c r="Q9" s="135" t="s">
        <v>21</v>
      </c>
      <c r="R9" s="136"/>
      <c r="S9" s="132">
        <v>1</v>
      </c>
      <c r="T9" s="133">
        <v>1</v>
      </c>
      <c r="U9" s="134">
        <v>0</v>
      </c>
      <c r="V9" s="10">
        <f t="shared" si="2"/>
        <v>1</v>
      </c>
      <c r="W9" s="99" t="str">
        <f t="shared" si="3"/>
        <v>BUY</v>
      </c>
      <c r="X9" s="87"/>
      <c r="Y9" s="144" t="s">
        <v>22</v>
      </c>
      <c r="Z9" s="145"/>
      <c r="AA9" s="101"/>
      <c r="AB9" s="146" t="str">
        <f>IF(AB4=AB6,AB4,"Anchor")</f>
        <v>BUY</v>
      </c>
      <c r="AC9" s="147"/>
    </row>
    <row r="10" spans="3:29" ht="32.25" thickBot="1">
      <c r="C10" s="137" t="s">
        <v>23</v>
      </c>
      <c r="D10" s="138"/>
      <c r="E10" s="132">
        <v>1</v>
      </c>
      <c r="F10" s="133">
        <v>1</v>
      </c>
      <c r="G10" s="134">
        <v>-1</v>
      </c>
      <c r="H10" s="10">
        <f t="shared" si="0"/>
        <v>1</v>
      </c>
      <c r="I10" s="102" t="str">
        <f t="shared" si="1"/>
        <v>BUY</v>
      </c>
      <c r="J10" s="87"/>
      <c r="K10" s="144" t="s">
        <v>24</v>
      </c>
      <c r="L10" s="153"/>
      <c r="M10" s="105"/>
      <c r="N10" s="110" t="str">
        <f>IF(H10="","No",IF(N8="?","No",IF(N8="Neutral","Wait",IF(F9&lt;H8,"Wait",IF(F9&gt;H8,"Wait",IF(M8=M4,"YES",IF(I10=I8,"SCALP","NO")))))))</f>
        <v>SCALP</v>
      </c>
      <c r="O10" s="111">
        <f>R22</f>
        <v>0</v>
      </c>
      <c r="Q10" s="137" t="s">
        <v>23</v>
      </c>
      <c r="R10" s="138"/>
      <c r="S10" s="132">
        <v>1</v>
      </c>
      <c r="T10" s="143">
        <v>1</v>
      </c>
      <c r="U10" s="134">
        <v>1</v>
      </c>
      <c r="V10" s="10">
        <f t="shared" si="2"/>
        <v>1</v>
      </c>
      <c r="W10" s="102" t="str">
        <f t="shared" si="3"/>
        <v>BUY</v>
      </c>
      <c r="X10" s="87"/>
      <c r="Y10" s="144" t="s">
        <v>24</v>
      </c>
      <c r="Z10" s="153"/>
      <c r="AA10" s="105"/>
      <c r="AB10" s="110" t="str">
        <f>IF(V10="","No",IF(AB8="?","No",IF(AB8="Neutral","Wait",IF(T9&lt;V8,"Wait",IF(T9&gt;V8,"Wait",IF(AA8=AA4,"YES",IF(W10=W8,"SCALP","NO")))))))</f>
        <v>YES</v>
      </c>
      <c r="AC10" s="111">
        <f>AF22</f>
        <v>0</v>
      </c>
    </row>
    <row r="11" spans="3:29" ht="32.25" thickBot="1">
      <c r="C11" s="156" t="s">
        <v>26</v>
      </c>
      <c r="D11" s="157"/>
      <c r="E11" s="157"/>
      <c r="F11" s="157"/>
      <c r="G11" s="157"/>
      <c r="H11" s="157"/>
      <c r="I11" s="157"/>
      <c r="J11" s="88"/>
      <c r="K11" s="158" t="s">
        <v>27</v>
      </c>
      <c r="L11" s="158"/>
      <c r="M11" s="159" t="str">
        <f>IF(I8="","",IF(N6=N4,"GOOD","Min"))</f>
        <v>GOOD</v>
      </c>
      <c r="N11" s="159"/>
      <c r="O11" s="160"/>
      <c r="Q11" s="156" t="s">
        <v>26</v>
      </c>
      <c r="R11" s="157"/>
      <c r="S11" s="157"/>
      <c r="T11" s="157"/>
      <c r="U11" s="157"/>
      <c r="V11" s="157"/>
      <c r="W11" s="157"/>
      <c r="X11" s="88"/>
      <c r="Y11" s="158" t="s">
        <v>27</v>
      </c>
      <c r="Z11" s="158"/>
      <c r="AA11" s="159" t="str">
        <f>IF(W8="","",IF(AB6=AB4,"GOOD","Min"))</f>
        <v>GOOD</v>
      </c>
      <c r="AB11" s="159"/>
      <c r="AC11" s="160"/>
    </row>
    <row r="14" spans="3:29" ht="24" thickBot="1">
      <c r="C14" s="140" t="s">
        <v>55</v>
      </c>
      <c r="Q14" s="140" t="s">
        <v>56</v>
      </c>
    </row>
    <row r="15" spans="3:29" ht="32.25" thickBot="1">
      <c r="C15" s="127"/>
      <c r="D15" s="128" t="s">
        <v>0</v>
      </c>
      <c r="E15" s="129" t="s">
        <v>1</v>
      </c>
      <c r="F15" s="130" t="s">
        <v>2</v>
      </c>
      <c r="G15" s="129" t="s">
        <v>3</v>
      </c>
      <c r="H15" s="103" t="s">
        <v>4</v>
      </c>
      <c r="I15" s="103" t="s">
        <v>5</v>
      </c>
      <c r="J15" s="89"/>
      <c r="K15" s="148" t="s">
        <v>6</v>
      </c>
      <c r="L15" s="148"/>
      <c r="M15" s="89"/>
      <c r="N15" s="89"/>
      <c r="O15" s="90"/>
      <c r="Q15" s="127"/>
      <c r="R15" s="128" t="s">
        <v>0</v>
      </c>
      <c r="S15" s="129" t="s">
        <v>1</v>
      </c>
      <c r="T15" s="130" t="s">
        <v>2</v>
      </c>
      <c r="U15" s="129" t="s">
        <v>3</v>
      </c>
      <c r="V15" s="103" t="s">
        <v>4</v>
      </c>
      <c r="W15" s="103" t="s">
        <v>5</v>
      </c>
      <c r="X15" s="89"/>
      <c r="Y15" s="148" t="s">
        <v>6</v>
      </c>
      <c r="Z15" s="148"/>
      <c r="AA15" s="89"/>
      <c r="AB15" s="89"/>
      <c r="AC15" s="90"/>
    </row>
    <row r="16" spans="3:29" ht="32.25" thickBot="1">
      <c r="C16" s="131" t="s">
        <v>8</v>
      </c>
      <c r="D16" s="132">
        <v>1</v>
      </c>
      <c r="E16" s="132">
        <v>0</v>
      </c>
      <c r="F16" s="133">
        <v>0</v>
      </c>
      <c r="G16" s="134">
        <v>1</v>
      </c>
      <c r="H16" s="10">
        <f>IFERROR(MODE(D16:G16),"")</f>
        <v>1</v>
      </c>
      <c r="I16" s="96" t="str">
        <f>IF(E16="","",IF(H16=1,"BUY",IF(H16=-1,"SELL",IF(H16=0,"Neutral","?"))))</f>
        <v>BUY</v>
      </c>
      <c r="J16" s="87"/>
      <c r="K16" s="151" t="s">
        <v>9</v>
      </c>
      <c r="L16" s="152"/>
      <c r="M16" s="97">
        <f>IFERROR(MODE(H16:H18),"")</f>
        <v>0</v>
      </c>
      <c r="N16" s="98" t="str">
        <f>IF(E16="","",IF(M16=1,"BUY",IF(M16=-1,"SELL",IF(M16=0,"Neutral","?"))))</f>
        <v>Neutral</v>
      </c>
      <c r="O16" s="95" t="str">
        <f>IF(M16="","",IF(I18="BUY",IF(AND(I17="BUY",I16="BUY"),"STRONG",IF(OR(I17="BUY",I16="BUY"),"MEDIUM","WEAK")),IF(I18="SELL",IF(AND(I17="SELL",I16="SELL"),"STRONG",IF(OR(I17="SELL",I16="SELL"),"MEDIUM","WEAK")),"WEAK")))</f>
        <v>WEAK</v>
      </c>
      <c r="Q16" s="131" t="s">
        <v>8</v>
      </c>
      <c r="R16" s="132">
        <v>1</v>
      </c>
      <c r="S16" s="132">
        <v>-1</v>
      </c>
      <c r="T16" s="133">
        <v>0</v>
      </c>
      <c r="U16" s="134">
        <v>1</v>
      </c>
      <c r="V16" s="10">
        <f>IFERROR(MODE(R16:U16),"")</f>
        <v>1</v>
      </c>
      <c r="W16" s="96" t="str">
        <f>IF(S16="","",IF(V16=1,"BUY",IF(V16=-1,"SELL",IF(V16=0,"Neutral","?"))))</f>
        <v>BUY</v>
      </c>
      <c r="X16" s="87"/>
      <c r="Y16" s="151" t="s">
        <v>9</v>
      </c>
      <c r="Z16" s="152"/>
      <c r="AA16" s="97">
        <f>IFERROR(MODE(V16:V18),"")</f>
        <v>0</v>
      </c>
      <c r="AB16" s="98" t="str">
        <f>IF(S16="","",IF(AA16=1,"BUY",IF(AA16=-1,"SELL",IF(AA16=0,"Neutral","?"))))</f>
        <v>Neutral</v>
      </c>
      <c r="AC16" s="95" t="str">
        <f>IF(AA16="","",IF(W18="BUY",IF(AND(W17="BUY",W16="BUY"),"STRONG",IF(OR(W17="BUY",W16="BUY"),"MEDIUM","WEAK")),IF(W18="SELL",IF(AND(W17="SELL",W16="SELL"),"STRONG",IF(OR(W17="SELL",W16="SELL"),"MEDIUM","WEAK")),"WEAK")))</f>
        <v>WEAK</v>
      </c>
    </row>
    <row r="17" spans="3:29" ht="32.25" thickBot="1">
      <c r="C17" s="135" t="s">
        <v>11</v>
      </c>
      <c r="D17" s="132">
        <v>-1</v>
      </c>
      <c r="E17" s="132">
        <v>0</v>
      </c>
      <c r="F17" s="133">
        <v>0</v>
      </c>
      <c r="G17" s="134">
        <v>1</v>
      </c>
      <c r="H17" s="10">
        <f t="shared" ref="H17:H22" si="4">IFERROR(MODE(D17:G17),"")</f>
        <v>0</v>
      </c>
      <c r="I17" s="99" t="str">
        <f t="shared" ref="I17:I22" si="5">IF(E17="","",IF(H17=1,"BUY",IF(H17=-1,"SELL",IF(H17=0,"Neutral","?"))))</f>
        <v>Neutral</v>
      </c>
      <c r="J17" s="87"/>
      <c r="K17" s="104"/>
      <c r="L17" s="2"/>
      <c r="M17" s="91"/>
      <c r="N17" s="2"/>
      <c r="O17" s="65"/>
      <c r="Q17" s="135" t="s">
        <v>11</v>
      </c>
      <c r="R17" s="132">
        <v>-1</v>
      </c>
      <c r="S17" s="132">
        <v>0</v>
      </c>
      <c r="T17" s="133">
        <v>0</v>
      </c>
      <c r="U17" s="134">
        <v>1</v>
      </c>
      <c r="V17" s="10">
        <f t="shared" ref="V17:V22" si="6">IFERROR(MODE(R17:U17),"")</f>
        <v>0</v>
      </c>
      <c r="W17" s="99" t="str">
        <f t="shared" ref="W17:W22" si="7">IF(S17="","",IF(V17=1,"BUY",IF(V17=-1,"SELL",IF(V17=0,"Neutral","?"))))</f>
        <v>Neutral</v>
      </c>
      <c r="X17" s="87"/>
      <c r="Y17" s="104"/>
      <c r="Z17" s="2"/>
      <c r="AA17" s="91"/>
      <c r="AB17" s="2"/>
      <c r="AC17" s="65"/>
    </row>
    <row r="18" spans="3:29" ht="32.25" thickBot="1">
      <c r="C18" s="135" t="s">
        <v>13</v>
      </c>
      <c r="D18" s="132">
        <v>1</v>
      </c>
      <c r="E18" s="132">
        <v>-1</v>
      </c>
      <c r="F18" s="133">
        <v>0</v>
      </c>
      <c r="G18" s="134">
        <v>0</v>
      </c>
      <c r="H18" s="10">
        <f t="shared" si="4"/>
        <v>0</v>
      </c>
      <c r="I18" s="99" t="str">
        <f t="shared" si="5"/>
        <v>Neutral</v>
      </c>
      <c r="J18" s="87"/>
      <c r="K18" s="151" t="s">
        <v>14</v>
      </c>
      <c r="L18" s="152"/>
      <c r="M18" s="100" t="str">
        <f>IFERROR(MODE(H18:H20),"")</f>
        <v/>
      </c>
      <c r="N18" s="98" t="str">
        <f>IF(E20="","",IF(M18=1,"BUY",IF(M18=-1,"SELL",IF(M18=0,"Neutral","?"))))</f>
        <v>?</v>
      </c>
      <c r="O18" s="95" t="str">
        <f>IF(M18="","",IF(I20="BUY",IF(AND(I19="BUY",I18="BUY"),"STRONG",IF(OR(I19="BUY",I18="BUY"),"MEDIUM","WEAK")),IF(I20="SELL",IF(AND(I19="SELL",I18="SELL"),"STRONG",IF(OR(I19="SELL",I18="SELL"),"MEDIUM","WEAK")),"WEAK")))</f>
        <v/>
      </c>
      <c r="Q18" s="135" t="s">
        <v>13</v>
      </c>
      <c r="R18" s="132">
        <v>1</v>
      </c>
      <c r="S18" s="132">
        <v>-1</v>
      </c>
      <c r="T18" s="133">
        <v>0</v>
      </c>
      <c r="U18" s="134">
        <v>0</v>
      </c>
      <c r="V18" s="10">
        <f t="shared" si="6"/>
        <v>0</v>
      </c>
      <c r="W18" s="99" t="str">
        <f t="shared" si="7"/>
        <v>Neutral</v>
      </c>
      <c r="X18" s="87"/>
      <c r="Y18" s="151" t="s">
        <v>14</v>
      </c>
      <c r="Z18" s="152"/>
      <c r="AA18" s="100" t="str">
        <f>IFERROR(MODE(V18:V20),"")</f>
        <v/>
      </c>
      <c r="AB18" s="98" t="str">
        <f>IF(S20="","",IF(AA18=1,"BUY",IF(AA18=-1,"SELL",IF(AA18=0,"Neutral","?"))))</f>
        <v>?</v>
      </c>
      <c r="AC18" s="95" t="str">
        <f>IF(AA18="","",IF(W20="BUY",IF(AND(W19="BUY",W18="BUY"),"STRONG",IF(OR(W19="BUY",W18="BUY"),"MEDIUM","WEAK")),IF(W20="SELL",IF(AND(W19="SELL",W18="SELL"),"STRONG",IF(OR(W19="SELL",W18="SELL"),"MEDIUM","WEAK")),"WEAK")))</f>
        <v/>
      </c>
    </row>
    <row r="19" spans="3:29" ht="32.25" thickBot="1">
      <c r="C19" s="135" t="s">
        <v>16</v>
      </c>
      <c r="D19" s="136">
        <v>1</v>
      </c>
      <c r="E19" s="132">
        <v>1</v>
      </c>
      <c r="F19" s="133">
        <v>0</v>
      </c>
      <c r="G19" s="134">
        <v>0</v>
      </c>
      <c r="H19" s="10">
        <f t="shared" si="4"/>
        <v>1</v>
      </c>
      <c r="I19" s="99" t="str">
        <f t="shared" si="5"/>
        <v>BUY</v>
      </c>
      <c r="J19" s="87"/>
      <c r="K19" s="104"/>
      <c r="L19" s="2"/>
      <c r="M19" s="91"/>
      <c r="N19" s="2"/>
      <c r="O19" s="65"/>
      <c r="Q19" s="135" t="s">
        <v>16</v>
      </c>
      <c r="R19" s="136">
        <v>1</v>
      </c>
      <c r="S19" s="132">
        <v>1</v>
      </c>
      <c r="T19" s="133">
        <v>0</v>
      </c>
      <c r="U19" s="134">
        <v>0</v>
      </c>
      <c r="V19" s="10">
        <f t="shared" si="6"/>
        <v>1</v>
      </c>
      <c r="W19" s="99" t="str">
        <f t="shared" si="7"/>
        <v>BUY</v>
      </c>
      <c r="X19" s="87"/>
      <c r="Y19" s="104"/>
      <c r="Z19" s="2"/>
      <c r="AA19" s="91"/>
      <c r="AB19" s="2"/>
      <c r="AC19" s="65"/>
    </row>
    <row r="20" spans="3:29" ht="32.25" thickBot="1">
      <c r="C20" s="135" t="s">
        <v>18</v>
      </c>
      <c r="D20" s="136"/>
      <c r="E20" s="132">
        <v>-1</v>
      </c>
      <c r="F20" s="133">
        <v>-1</v>
      </c>
      <c r="G20" s="134">
        <v>0</v>
      </c>
      <c r="H20" s="10">
        <f t="shared" si="4"/>
        <v>-1</v>
      </c>
      <c r="I20" s="99" t="str">
        <f t="shared" si="5"/>
        <v>SELL</v>
      </c>
      <c r="J20" s="87"/>
      <c r="K20" s="151" t="s">
        <v>19</v>
      </c>
      <c r="L20" s="152"/>
      <c r="M20" s="97" t="str">
        <f>IFERROR(MODE(H20:H22),"")</f>
        <v/>
      </c>
      <c r="N20" s="98" t="str">
        <f>IF(E22="","",IF(M20=1,"BUY",IF(M20=-1,"SELL",IF(M20=0,"Neutral","?"))))</f>
        <v>?</v>
      </c>
      <c r="O20" s="95" t="str">
        <f>IF(M20="","",IF(I20="BUY",IF(AND(I21="BUY",I22="BUY"),"STRONG",IF(OR(I21="BUY",I22="BUY"),"MEDIUM","WEAK")),IF(I20="SELL",IF(AND(I21="SELL",I22="SELL"),"STRONG",IF(OR(I21="SELL",I22="SELL"),"MEDIUM","WEAK")),"WEAK")))</f>
        <v/>
      </c>
      <c r="Q20" s="135" t="s">
        <v>18</v>
      </c>
      <c r="R20" s="136"/>
      <c r="S20" s="132">
        <v>-1</v>
      </c>
      <c r="T20" s="133">
        <v>-1</v>
      </c>
      <c r="U20" s="134">
        <v>0</v>
      </c>
      <c r="V20" s="10">
        <f t="shared" si="6"/>
        <v>-1</v>
      </c>
      <c r="W20" s="99" t="str">
        <f t="shared" si="7"/>
        <v>SELL</v>
      </c>
      <c r="X20" s="87"/>
      <c r="Y20" s="151" t="s">
        <v>19</v>
      </c>
      <c r="Z20" s="152"/>
      <c r="AA20" s="97">
        <f>IFERROR(MODE(V20:V22),"")</f>
        <v>1</v>
      </c>
      <c r="AB20" s="98" t="str">
        <f>IF(S22="","",IF(AA20=1,"BUY",IF(AA20=-1,"SELL",IF(AA20=0,"Neutral","?"))))</f>
        <v>BUY</v>
      </c>
      <c r="AC20" s="95" t="str">
        <f>IF(AA20="","",IF(W20="BUY",IF(AND(W21="BUY",W22="BUY"),"STRONG",IF(OR(W21="BUY",W22="BUY"),"MEDIUM","WEAK")),IF(W20="SELL",IF(AND(W21="SELL",W22="SELL"),"STRONG",IF(OR(W21="SELL",W22="SELL"),"MEDIUM","WEAK")),"WEAK")))</f>
        <v>WEAK</v>
      </c>
    </row>
    <row r="21" spans="3:29" ht="32.25" thickBot="1">
      <c r="C21" s="135" t="s">
        <v>21</v>
      </c>
      <c r="D21" s="136"/>
      <c r="E21" s="132">
        <v>0</v>
      </c>
      <c r="F21" s="133">
        <v>1</v>
      </c>
      <c r="G21" s="134">
        <v>-1</v>
      </c>
      <c r="H21" s="10" t="str">
        <f t="shared" si="4"/>
        <v/>
      </c>
      <c r="I21" s="99" t="str">
        <f t="shared" si="5"/>
        <v>?</v>
      </c>
      <c r="J21" s="87"/>
      <c r="K21" s="144" t="s">
        <v>22</v>
      </c>
      <c r="L21" s="145"/>
      <c r="M21" s="101"/>
      <c r="N21" s="146" t="str">
        <f>IF(N16=N18,N16,"Anchor")</f>
        <v>Anchor</v>
      </c>
      <c r="O21" s="147"/>
      <c r="Q21" s="135" t="s">
        <v>21</v>
      </c>
      <c r="R21" s="136"/>
      <c r="S21" s="132">
        <v>1</v>
      </c>
      <c r="T21" s="133">
        <v>1</v>
      </c>
      <c r="U21" s="134">
        <v>0</v>
      </c>
      <c r="V21" s="10">
        <f t="shared" si="6"/>
        <v>1</v>
      </c>
      <c r="W21" s="99" t="str">
        <f t="shared" si="7"/>
        <v>BUY</v>
      </c>
      <c r="X21" s="87"/>
      <c r="Y21" s="144" t="s">
        <v>22</v>
      </c>
      <c r="Z21" s="145"/>
      <c r="AA21" s="101"/>
      <c r="AB21" s="146" t="str">
        <f>IF(AB16=AB18,AB16,"Anchor")</f>
        <v>Anchor</v>
      </c>
      <c r="AC21" s="147"/>
    </row>
    <row r="22" spans="3:29" ht="32.25" thickBot="1">
      <c r="C22" s="137" t="s">
        <v>23</v>
      </c>
      <c r="D22" s="138"/>
      <c r="E22" s="132">
        <v>1</v>
      </c>
      <c r="F22" s="133">
        <v>1</v>
      </c>
      <c r="G22" s="134">
        <v>0</v>
      </c>
      <c r="H22" s="10">
        <f t="shared" si="4"/>
        <v>1</v>
      </c>
      <c r="I22" s="102" t="str">
        <f t="shared" si="5"/>
        <v>BUY</v>
      </c>
      <c r="J22" s="87"/>
      <c r="K22" s="144" t="s">
        <v>24</v>
      </c>
      <c r="L22" s="153"/>
      <c r="M22" s="105"/>
      <c r="N22" s="110" t="str">
        <f>IF(H22="","No",IF(N20="?","No",IF(N20="Neutral","Wait",IF(F21&lt;H20,"Wait",IF(F21&gt;H20,"Wait",IF(M20=M16,"YES",IF(I22=I20,"SCALP","NO")))))))</f>
        <v>No</v>
      </c>
      <c r="O22" s="111" t="e">
        <f>#REF!</f>
        <v>#REF!</v>
      </c>
      <c r="Q22" s="137" t="s">
        <v>23</v>
      </c>
      <c r="R22" s="138"/>
      <c r="S22" s="132">
        <v>1</v>
      </c>
      <c r="T22" s="133">
        <v>1</v>
      </c>
      <c r="U22" s="134">
        <v>1</v>
      </c>
      <c r="V22" s="10">
        <f t="shared" si="6"/>
        <v>1</v>
      </c>
      <c r="W22" s="102" t="str">
        <f t="shared" si="7"/>
        <v>BUY</v>
      </c>
      <c r="X22" s="87"/>
      <c r="Y22" s="144" t="s">
        <v>24</v>
      </c>
      <c r="Z22" s="153"/>
      <c r="AA22" s="105"/>
      <c r="AB22" s="110" t="str">
        <f>IF(V22="","No",IF(AB20="?","No",IF(AB20="Neutral","Wait",IF(T21&lt;V20,"Wait",IF(T21&gt;V20,"Wait",IF(AA20=AA16,"YES",IF(W22=W20,"SCALP","NO")))))))</f>
        <v>Wait</v>
      </c>
      <c r="AC22" s="111">
        <f>P34</f>
        <v>0</v>
      </c>
    </row>
    <row r="23" spans="3:29" ht="32.25" thickBot="1">
      <c r="C23" s="156" t="s">
        <v>26</v>
      </c>
      <c r="D23" s="157"/>
      <c r="E23" s="157"/>
      <c r="F23" s="157"/>
      <c r="G23" s="157"/>
      <c r="H23" s="157"/>
      <c r="I23" s="157"/>
      <c r="J23" s="88"/>
      <c r="K23" s="158" t="s">
        <v>27</v>
      </c>
      <c r="L23" s="158"/>
      <c r="M23" s="159" t="str">
        <f>IF(I20="","",IF(N18=N16,"GOOD","Min"))</f>
        <v>Min</v>
      </c>
      <c r="N23" s="159"/>
      <c r="O23" s="160"/>
      <c r="Q23" s="156" t="s">
        <v>26</v>
      </c>
      <c r="R23" s="157"/>
      <c r="S23" s="157"/>
      <c r="T23" s="157"/>
      <c r="U23" s="157"/>
      <c r="V23" s="157"/>
      <c r="W23" s="157"/>
      <c r="X23" s="88"/>
      <c r="Y23" s="158" t="s">
        <v>27</v>
      </c>
      <c r="Z23" s="158"/>
      <c r="AA23" s="159" t="str">
        <f>IF(W20="","",IF(AB18=AB16,"GOOD","Min"))</f>
        <v>Min</v>
      </c>
      <c r="AB23" s="159"/>
      <c r="AC23" s="160"/>
    </row>
  </sheetData>
  <mergeCells count="40">
    <mergeCell ref="AB9:AC9"/>
    <mergeCell ref="K3:L3"/>
    <mergeCell ref="Y3:Z3"/>
    <mergeCell ref="K4:L4"/>
    <mergeCell ref="Y4:Z4"/>
    <mergeCell ref="K6:L6"/>
    <mergeCell ref="Y6:Z6"/>
    <mergeCell ref="K8:L8"/>
    <mergeCell ref="Y8:Z8"/>
    <mergeCell ref="K9:L9"/>
    <mergeCell ref="N9:O9"/>
    <mergeCell ref="Y9:Z9"/>
    <mergeCell ref="K10:L10"/>
    <mergeCell ref="Y10:Z10"/>
    <mergeCell ref="C11:I11"/>
    <mergeCell ref="K11:L11"/>
    <mergeCell ref="M11:O11"/>
    <mergeCell ref="Q11:W11"/>
    <mergeCell ref="Y11:Z11"/>
    <mergeCell ref="AB21:AC21"/>
    <mergeCell ref="AA11:AC11"/>
    <mergeCell ref="K15:L15"/>
    <mergeCell ref="Y15:Z15"/>
    <mergeCell ref="K16:L16"/>
    <mergeCell ref="Y16:Z16"/>
    <mergeCell ref="K18:L18"/>
    <mergeCell ref="Y18:Z18"/>
    <mergeCell ref="K20:L20"/>
    <mergeCell ref="Y20:Z20"/>
    <mergeCell ref="K21:L21"/>
    <mergeCell ref="N21:O21"/>
    <mergeCell ref="Y21:Z21"/>
    <mergeCell ref="AA23:AC23"/>
    <mergeCell ref="K22:L22"/>
    <mergeCell ref="Y22:Z22"/>
    <mergeCell ref="C23:I23"/>
    <mergeCell ref="K23:L23"/>
    <mergeCell ref="M23:O23"/>
    <mergeCell ref="Q23:W23"/>
    <mergeCell ref="Y23:Z23"/>
  </mergeCells>
  <conditionalFormatting sqref="I4:K4 J5:O5 I5:I10 J6:K6 J7:O7 M9">
    <cfRule type="cellIs" dxfId="120" priority="145" operator="equal">
      <formula>"SELL"</formula>
    </cfRule>
  </conditionalFormatting>
  <conditionalFormatting sqref="I4:K4 M4:N4 J5:O5 I5:I10 J6:K6 M6:N6 J7:O7 M8:N8 J8:K10 M9 N10">
    <cfRule type="cellIs" dxfId="119" priority="144" operator="equal">
      <formula>"BUY"</formula>
    </cfRule>
  </conditionalFormatting>
  <conditionalFormatting sqref="J8:K11">
    <cfRule type="cellIs" dxfId="118" priority="141" operator="equal">
      <formula>"SELL"</formula>
    </cfRule>
  </conditionalFormatting>
  <conditionalFormatting sqref="J11:K11">
    <cfRule type="cellIs" dxfId="117" priority="140" operator="equal">
      <formula>"BUY"</formula>
    </cfRule>
  </conditionalFormatting>
  <conditionalFormatting sqref="K3">
    <cfRule type="cellIs" dxfId="116" priority="134" operator="equal">
      <formula>"BUY"</formula>
    </cfRule>
    <cfRule type="cellIs" dxfId="115" priority="135" operator="equal">
      <formula>"SELL"</formula>
    </cfRule>
  </conditionalFormatting>
  <conditionalFormatting sqref="M11">
    <cfRule type="cellIs" dxfId="114" priority="136" operator="equal">
      <formula>"YES"</formula>
    </cfRule>
    <cfRule type="cellIs" dxfId="113" priority="137" operator="equal">
      <formula>"NO"</formula>
    </cfRule>
    <cfRule type="cellIs" dxfId="112" priority="138" operator="equal">
      <formula>"BUY"</formula>
    </cfRule>
    <cfRule type="cellIs" dxfId="111" priority="139" operator="equal">
      <formula>"SELL"</formula>
    </cfRule>
  </conditionalFormatting>
  <conditionalFormatting sqref="M4:O4">
    <cfRule type="cellIs" dxfId="110" priority="133" operator="equal">
      <formula>"SELL"</formula>
    </cfRule>
  </conditionalFormatting>
  <conditionalFormatting sqref="M6:O6">
    <cfRule type="cellIs" dxfId="109" priority="128" operator="equal">
      <formula>"SELL"</formula>
    </cfRule>
  </conditionalFormatting>
  <conditionalFormatting sqref="M8:O8">
    <cfRule type="cellIs" dxfId="108" priority="123" operator="equal">
      <formula>"SELL"</formula>
    </cfRule>
  </conditionalFormatting>
  <conditionalFormatting sqref="N9">
    <cfRule type="cellIs" dxfId="107" priority="117" operator="equal">
      <formula>"BUY"</formula>
    </cfRule>
  </conditionalFormatting>
  <conditionalFormatting sqref="N9:N10">
    <cfRule type="cellIs" dxfId="106" priority="118" operator="equal">
      <formula>"SELL"</formula>
    </cfRule>
  </conditionalFormatting>
  <conditionalFormatting sqref="N10">
    <cfRule type="cellIs" dxfId="105" priority="142" operator="equal">
      <formula>"YES"</formula>
    </cfRule>
    <cfRule type="cellIs" dxfId="104" priority="143" operator="equal">
      <formula>"NO"</formula>
    </cfRule>
  </conditionalFormatting>
  <conditionalFormatting sqref="O4">
    <cfRule type="cellIs" dxfId="103" priority="129" operator="equal">
      <formula>"WEAK"</formula>
    </cfRule>
    <cfRule type="cellIs" dxfId="102" priority="130" operator="equal">
      <formula>"MEDIUM"</formula>
    </cfRule>
    <cfRule type="cellIs" dxfId="101" priority="131" operator="equal">
      <formula>"STRONG"</formula>
    </cfRule>
    <cfRule type="cellIs" dxfId="100" priority="132" operator="equal">
      <formula>"BUY"</formula>
    </cfRule>
  </conditionalFormatting>
  <conditionalFormatting sqref="O6">
    <cfRule type="cellIs" dxfId="99" priority="124" operator="equal">
      <formula>"WEAK"</formula>
    </cfRule>
    <cfRule type="cellIs" dxfId="98" priority="125" operator="equal">
      <formula>"MEDIUM"</formula>
    </cfRule>
    <cfRule type="cellIs" dxfId="97" priority="126" operator="equal">
      <formula>"STRONG"</formula>
    </cfRule>
    <cfRule type="cellIs" dxfId="96" priority="127" operator="equal">
      <formula>"BUY"</formula>
    </cfRule>
  </conditionalFormatting>
  <conditionalFormatting sqref="O8">
    <cfRule type="cellIs" dxfId="95" priority="119" operator="equal">
      <formula>"WEAK"</formula>
    </cfRule>
    <cfRule type="cellIs" dxfId="94" priority="120" operator="equal">
      <formula>"MEDIUM"</formula>
    </cfRule>
    <cfRule type="cellIs" dxfId="93" priority="121" operator="equal">
      <formula>"STRONG"</formula>
    </cfRule>
    <cfRule type="cellIs" dxfId="92" priority="122" operator="equal">
      <formula>"BUY"</formula>
    </cfRule>
  </conditionalFormatting>
  <conditionalFormatting sqref="W4:Y4 X5:AC5 W5:W10 X6:Y6 X7:AC7 AA9">
    <cfRule type="cellIs" dxfId="91" priority="116" operator="equal">
      <formula>"SELL"</formula>
    </cfRule>
  </conditionalFormatting>
  <conditionalFormatting sqref="W4:Y4 AA4:AB4 X5:AC5 W5:W10 X6:Y6 AA6:AB6 X7:AC7 AA8:AB8 X8:Y10 AA9 AB10">
    <cfRule type="cellIs" dxfId="90" priority="115" operator="equal">
      <formula>"BUY"</formula>
    </cfRule>
  </conditionalFormatting>
  <conditionalFormatting sqref="X8:Y11">
    <cfRule type="cellIs" dxfId="89" priority="112" operator="equal">
      <formula>"SELL"</formula>
    </cfRule>
  </conditionalFormatting>
  <conditionalFormatting sqref="X11:Y11">
    <cfRule type="cellIs" dxfId="88" priority="111" operator="equal">
      <formula>"BUY"</formula>
    </cfRule>
  </conditionalFormatting>
  <conditionalFormatting sqref="Y3">
    <cfRule type="cellIs" dxfId="87" priority="105" operator="equal">
      <formula>"BUY"</formula>
    </cfRule>
    <cfRule type="cellIs" dxfId="86" priority="106" operator="equal">
      <formula>"SELL"</formula>
    </cfRule>
  </conditionalFormatting>
  <conditionalFormatting sqref="AA11">
    <cfRule type="cellIs" dxfId="85" priority="107" operator="equal">
      <formula>"YES"</formula>
    </cfRule>
    <cfRule type="cellIs" dxfId="84" priority="108" operator="equal">
      <formula>"NO"</formula>
    </cfRule>
    <cfRule type="cellIs" dxfId="83" priority="109" operator="equal">
      <formula>"BUY"</formula>
    </cfRule>
    <cfRule type="cellIs" dxfId="82" priority="110" operator="equal">
      <formula>"SELL"</formula>
    </cfRule>
  </conditionalFormatting>
  <conditionalFormatting sqref="AA4:AC4">
    <cfRule type="cellIs" dxfId="81" priority="104" operator="equal">
      <formula>"SELL"</formula>
    </cfRule>
  </conditionalFormatting>
  <conditionalFormatting sqref="AA6:AC6">
    <cfRule type="cellIs" dxfId="80" priority="99" operator="equal">
      <formula>"SELL"</formula>
    </cfRule>
  </conditionalFormatting>
  <conditionalFormatting sqref="AA8:AC8">
    <cfRule type="cellIs" dxfId="79" priority="94" operator="equal">
      <formula>"SELL"</formula>
    </cfRule>
  </conditionalFormatting>
  <conditionalFormatting sqref="AB9">
    <cfRule type="cellIs" dxfId="78" priority="88" operator="equal">
      <formula>"BUY"</formula>
    </cfRule>
  </conditionalFormatting>
  <conditionalFormatting sqref="AB9:AB10">
    <cfRule type="cellIs" dxfId="77" priority="89" operator="equal">
      <formula>"SELL"</formula>
    </cfRule>
  </conditionalFormatting>
  <conditionalFormatting sqref="AB10">
    <cfRule type="cellIs" dxfId="76" priority="113" operator="equal">
      <formula>"YES"</formula>
    </cfRule>
    <cfRule type="cellIs" dxfId="75" priority="114" operator="equal">
      <formula>"NO"</formula>
    </cfRule>
  </conditionalFormatting>
  <conditionalFormatting sqref="AC4">
    <cfRule type="cellIs" dxfId="74" priority="100" operator="equal">
      <formula>"WEAK"</formula>
    </cfRule>
    <cfRule type="cellIs" dxfId="73" priority="101" operator="equal">
      <formula>"MEDIUM"</formula>
    </cfRule>
    <cfRule type="cellIs" dxfId="72" priority="102" operator="equal">
      <formula>"STRONG"</formula>
    </cfRule>
    <cfRule type="cellIs" dxfId="71" priority="103" operator="equal">
      <formula>"BUY"</formula>
    </cfRule>
  </conditionalFormatting>
  <conditionalFormatting sqref="AC6">
    <cfRule type="cellIs" dxfId="70" priority="95" operator="equal">
      <formula>"WEAK"</formula>
    </cfRule>
    <cfRule type="cellIs" dxfId="69" priority="96" operator="equal">
      <formula>"MEDIUM"</formula>
    </cfRule>
    <cfRule type="cellIs" dxfId="68" priority="97" operator="equal">
      <formula>"STRONG"</formula>
    </cfRule>
    <cfRule type="cellIs" dxfId="67" priority="98" operator="equal">
      <formula>"BUY"</formula>
    </cfRule>
  </conditionalFormatting>
  <conditionalFormatting sqref="AC8">
    <cfRule type="cellIs" dxfId="66" priority="90" operator="equal">
      <formula>"WEAK"</formula>
    </cfRule>
    <cfRule type="cellIs" dxfId="65" priority="91" operator="equal">
      <formula>"MEDIUM"</formula>
    </cfRule>
    <cfRule type="cellIs" dxfId="64" priority="92" operator="equal">
      <formula>"STRONG"</formula>
    </cfRule>
    <cfRule type="cellIs" dxfId="63" priority="93" operator="equal">
      <formula>"BUY"</formula>
    </cfRule>
  </conditionalFormatting>
  <conditionalFormatting sqref="I16:K16 J17:O17 I17:I22 J18:K18 J19:O19 M21">
    <cfRule type="cellIs" dxfId="62" priority="87" operator="equal">
      <formula>"SELL"</formula>
    </cfRule>
  </conditionalFormatting>
  <conditionalFormatting sqref="I16:K16 M16:N16 J17:O17 I17:I22 J18:K18 M18:N18 J19:O19 M20:N20 J20:K22 M21 N22">
    <cfRule type="cellIs" dxfId="61" priority="86" operator="equal">
      <formula>"BUY"</formula>
    </cfRule>
  </conditionalFormatting>
  <conditionalFormatting sqref="J20:K23">
    <cfRule type="cellIs" dxfId="60" priority="83" operator="equal">
      <formula>"SELL"</formula>
    </cfRule>
  </conditionalFormatting>
  <conditionalFormatting sqref="J23:K23">
    <cfRule type="cellIs" dxfId="59" priority="82" operator="equal">
      <formula>"BUY"</formula>
    </cfRule>
  </conditionalFormatting>
  <conditionalFormatting sqref="K15">
    <cfRule type="cellIs" dxfId="58" priority="76" operator="equal">
      <formula>"BUY"</formula>
    </cfRule>
    <cfRule type="cellIs" dxfId="57" priority="77" operator="equal">
      <formula>"SELL"</formula>
    </cfRule>
  </conditionalFormatting>
  <conditionalFormatting sqref="M23">
    <cfRule type="cellIs" dxfId="56" priority="78" operator="equal">
      <formula>"YES"</formula>
    </cfRule>
    <cfRule type="cellIs" dxfId="55" priority="79" operator="equal">
      <formula>"NO"</formula>
    </cfRule>
    <cfRule type="cellIs" dxfId="54" priority="80" operator="equal">
      <formula>"BUY"</formula>
    </cfRule>
    <cfRule type="cellIs" dxfId="53" priority="81" operator="equal">
      <formula>"SELL"</formula>
    </cfRule>
  </conditionalFormatting>
  <conditionalFormatting sqref="M16:O16">
    <cfRule type="cellIs" dxfId="52" priority="75" operator="equal">
      <formula>"SELL"</formula>
    </cfRule>
  </conditionalFormatting>
  <conditionalFormatting sqref="M18:O18">
    <cfRule type="cellIs" dxfId="51" priority="70" operator="equal">
      <formula>"SELL"</formula>
    </cfRule>
  </conditionalFormatting>
  <conditionalFormatting sqref="M20:O20">
    <cfRule type="cellIs" dxfId="50" priority="65" operator="equal">
      <formula>"SELL"</formula>
    </cfRule>
  </conditionalFormatting>
  <conditionalFormatting sqref="N21">
    <cfRule type="cellIs" dxfId="49" priority="59" operator="equal">
      <formula>"BUY"</formula>
    </cfRule>
  </conditionalFormatting>
  <conditionalFormatting sqref="N21:N22">
    <cfRule type="cellIs" dxfId="48" priority="60" operator="equal">
      <formula>"SELL"</formula>
    </cfRule>
  </conditionalFormatting>
  <conditionalFormatting sqref="N22">
    <cfRule type="cellIs" dxfId="47" priority="84" operator="equal">
      <formula>"YES"</formula>
    </cfRule>
    <cfRule type="cellIs" dxfId="46" priority="85" operator="equal">
      <formula>"NO"</formula>
    </cfRule>
  </conditionalFormatting>
  <conditionalFormatting sqref="O16">
    <cfRule type="cellIs" dxfId="45" priority="71" operator="equal">
      <formula>"WEAK"</formula>
    </cfRule>
    <cfRule type="cellIs" dxfId="44" priority="72" operator="equal">
      <formula>"MEDIUM"</formula>
    </cfRule>
    <cfRule type="cellIs" dxfId="43" priority="73" operator="equal">
      <formula>"STRONG"</formula>
    </cfRule>
    <cfRule type="cellIs" dxfId="42" priority="74" operator="equal">
      <formula>"BUY"</formula>
    </cfRule>
  </conditionalFormatting>
  <conditionalFormatting sqref="O18">
    <cfRule type="cellIs" dxfId="41" priority="66" operator="equal">
      <formula>"WEAK"</formula>
    </cfRule>
    <cfRule type="cellIs" dxfId="40" priority="67" operator="equal">
      <formula>"MEDIUM"</formula>
    </cfRule>
    <cfRule type="cellIs" dxfId="39" priority="68" operator="equal">
      <formula>"STRONG"</formula>
    </cfRule>
    <cfRule type="cellIs" dxfId="38" priority="69" operator="equal">
      <formula>"BUY"</formula>
    </cfRule>
  </conditionalFormatting>
  <conditionalFormatting sqref="O20">
    <cfRule type="cellIs" dxfId="37" priority="61" operator="equal">
      <formula>"WEAK"</formula>
    </cfRule>
    <cfRule type="cellIs" dxfId="36" priority="62" operator="equal">
      <formula>"MEDIUM"</formula>
    </cfRule>
    <cfRule type="cellIs" dxfId="35" priority="63" operator="equal">
      <formula>"STRONG"</formula>
    </cfRule>
    <cfRule type="cellIs" dxfId="34" priority="64" operator="equal">
      <formula>"BUY"</formula>
    </cfRule>
  </conditionalFormatting>
  <conditionalFormatting sqref="W16:Y16 X17:AC17 W17:W22 X18:Y18 X19:AC19 AA21">
    <cfRule type="cellIs" dxfId="33" priority="58" operator="equal">
      <formula>"SELL"</formula>
    </cfRule>
  </conditionalFormatting>
  <conditionalFormatting sqref="W16:Y16 AA16:AB16 X17:AC17 W17:W22 X18:Y18 AA18:AB18 X19:AC19 AA20:AB20 X20:Y22 AA21 AB22">
    <cfRule type="cellIs" dxfId="32" priority="57" operator="equal">
      <formula>"BUY"</formula>
    </cfRule>
  </conditionalFormatting>
  <conditionalFormatting sqref="X20:Y23">
    <cfRule type="cellIs" dxfId="31" priority="54" operator="equal">
      <formula>"SELL"</formula>
    </cfRule>
  </conditionalFormatting>
  <conditionalFormatting sqref="X23:Y23">
    <cfRule type="cellIs" dxfId="30" priority="53" operator="equal">
      <formula>"BUY"</formula>
    </cfRule>
  </conditionalFormatting>
  <conditionalFormatting sqref="Y15">
    <cfRule type="cellIs" dxfId="29" priority="47" operator="equal">
      <formula>"BUY"</formula>
    </cfRule>
    <cfRule type="cellIs" dxfId="28" priority="48" operator="equal">
      <formula>"SELL"</formula>
    </cfRule>
  </conditionalFormatting>
  <conditionalFormatting sqref="AA23">
    <cfRule type="cellIs" dxfId="27" priority="49" operator="equal">
      <formula>"YES"</formula>
    </cfRule>
    <cfRule type="cellIs" dxfId="26" priority="50" operator="equal">
      <formula>"NO"</formula>
    </cfRule>
    <cfRule type="cellIs" dxfId="25" priority="51" operator="equal">
      <formula>"BUY"</formula>
    </cfRule>
    <cfRule type="cellIs" dxfId="24" priority="52" operator="equal">
      <formula>"SELL"</formula>
    </cfRule>
  </conditionalFormatting>
  <conditionalFormatting sqref="AA16:AC16">
    <cfRule type="cellIs" dxfId="23" priority="46" operator="equal">
      <formula>"SELL"</formula>
    </cfRule>
  </conditionalFormatting>
  <conditionalFormatting sqref="AA18:AC18">
    <cfRule type="cellIs" dxfId="22" priority="41" operator="equal">
      <formula>"SELL"</formula>
    </cfRule>
  </conditionalFormatting>
  <conditionalFormatting sqref="AA20:AC20">
    <cfRule type="cellIs" dxfId="21" priority="36" operator="equal">
      <formula>"SELL"</formula>
    </cfRule>
  </conditionalFormatting>
  <conditionalFormatting sqref="AB21">
    <cfRule type="cellIs" dxfId="20" priority="30" operator="equal">
      <formula>"BUY"</formula>
    </cfRule>
  </conditionalFormatting>
  <conditionalFormatting sqref="AB21:AB22">
    <cfRule type="cellIs" dxfId="19" priority="31" operator="equal">
      <formula>"SELL"</formula>
    </cfRule>
  </conditionalFormatting>
  <conditionalFormatting sqref="AB22">
    <cfRule type="cellIs" dxfId="18" priority="55" operator="equal">
      <formula>"YES"</formula>
    </cfRule>
    <cfRule type="cellIs" dxfId="17" priority="56" operator="equal">
      <formula>"NO"</formula>
    </cfRule>
  </conditionalFormatting>
  <conditionalFormatting sqref="AC16">
    <cfRule type="cellIs" dxfId="16" priority="42" operator="equal">
      <formula>"WEAK"</formula>
    </cfRule>
    <cfRule type="cellIs" dxfId="15" priority="43" operator="equal">
      <formula>"MEDIUM"</formula>
    </cfRule>
    <cfRule type="cellIs" dxfId="14" priority="44" operator="equal">
      <formula>"STRONG"</formula>
    </cfRule>
    <cfRule type="cellIs" dxfId="13" priority="45" operator="equal">
      <formula>"BUY"</formula>
    </cfRule>
  </conditionalFormatting>
  <conditionalFormatting sqref="AC18">
    <cfRule type="cellIs" dxfId="12" priority="37" operator="equal">
      <formula>"WEAK"</formula>
    </cfRule>
    <cfRule type="cellIs" dxfId="11" priority="38" operator="equal">
      <formula>"MEDIUM"</formula>
    </cfRule>
    <cfRule type="cellIs" dxfId="10" priority="39" operator="equal">
      <formula>"STRONG"</formula>
    </cfRule>
    <cfRule type="cellIs" dxfId="9" priority="40" operator="equal">
      <formula>"BUY"</formula>
    </cfRule>
  </conditionalFormatting>
  <conditionalFormatting sqref="AC20">
    <cfRule type="cellIs" dxfId="8" priority="32" operator="equal">
      <formula>"WEAK"</formula>
    </cfRule>
    <cfRule type="cellIs" dxfId="7" priority="33" operator="equal">
      <formula>"MEDIUM"</formula>
    </cfRule>
    <cfRule type="cellIs" dxfId="6" priority="34" operator="equal">
      <formula>"STRONG"</formula>
    </cfRule>
    <cfRule type="cellIs" dxfId="5" priority="35" operator="equal">
      <formula>"BUY"</formula>
    </cfRule>
  </conditionalFormatting>
  <dataValidations count="1">
    <dataValidation type="list" allowBlank="1" showInputMessage="1" showErrorMessage="1" sqref="D4:G10 R4:U10 D16:G22 R16:U22" xr:uid="{3CCAF7B3-2A45-4334-86C4-355CD5051C88}">
      <formula1>"1,0,-1"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2058-7394-4963-9C1C-049C0A5F9895}">
  <dimension ref="A2:D17"/>
  <sheetViews>
    <sheetView workbookViewId="0">
      <selection activeCell="D18" sqref="D18"/>
    </sheetView>
  </sheetViews>
  <sheetFormatPr defaultRowHeight="15"/>
  <cols>
    <col min="2" max="2" width="9.28515625" bestFit="1" customWidth="1"/>
    <col min="3" max="4" width="12" bestFit="1" customWidth="1"/>
  </cols>
  <sheetData>
    <row r="2" spans="1:4">
      <c r="A2" t="s">
        <v>57</v>
      </c>
      <c r="B2" t="s">
        <v>58</v>
      </c>
      <c r="C2" t="s">
        <v>59</v>
      </c>
      <c r="D2" t="s">
        <v>60</v>
      </c>
    </row>
    <row r="3" spans="1:4">
      <c r="A3" s="142" t="s">
        <v>61</v>
      </c>
      <c r="B3">
        <v>0.6</v>
      </c>
      <c r="C3">
        <v>0.4</v>
      </c>
      <c r="D3">
        <v>0.13</v>
      </c>
    </row>
    <row r="4" spans="1:4">
      <c r="A4" s="142" t="s">
        <v>62</v>
      </c>
      <c r="B4">
        <v>0.48</v>
      </c>
      <c r="C4">
        <v>0.2</v>
      </c>
      <c r="D4" s="141">
        <f>C4/3</f>
        <v>6.6666666666666666E-2</v>
      </c>
    </row>
    <row r="6" spans="1:4">
      <c r="A6" s="142" t="s">
        <v>63</v>
      </c>
      <c r="B6">
        <v>0.59699999999999998</v>
      </c>
      <c r="C6" s="141">
        <v>0.46</v>
      </c>
      <c r="D6" s="141">
        <f>C6/3</f>
        <v>0.15333333333333335</v>
      </c>
    </row>
    <row r="7" spans="1:4">
      <c r="A7" s="142" t="s">
        <v>64</v>
      </c>
      <c r="B7">
        <v>0.66300000000000003</v>
      </c>
      <c r="C7" s="141">
        <v>0.39200000000000002</v>
      </c>
      <c r="D7" s="141">
        <f t="shared" ref="C7:D11" si="0">C7/3</f>
        <v>0.13066666666666668</v>
      </c>
    </row>
    <row r="8" spans="1:4">
      <c r="A8" s="142" t="s">
        <v>65</v>
      </c>
      <c r="B8">
        <v>0.98599999999999999</v>
      </c>
      <c r="C8" s="141">
        <v>0.61</v>
      </c>
      <c r="D8" s="141">
        <f t="shared" si="0"/>
        <v>0.20333333333333334</v>
      </c>
    </row>
    <row r="9" spans="1:4">
      <c r="A9" s="142" t="s">
        <v>66</v>
      </c>
      <c r="B9">
        <v>1.1080000000000001</v>
      </c>
      <c r="C9" s="141">
        <v>0.6</v>
      </c>
      <c r="D9" s="141">
        <f t="shared" si="0"/>
        <v>0.19999999999999998</v>
      </c>
    </row>
    <row r="10" spans="1:4">
      <c r="A10" s="142" t="s">
        <v>67</v>
      </c>
      <c r="B10">
        <v>0.57499999999999996</v>
      </c>
      <c r="C10" s="141">
        <v>0.5</v>
      </c>
      <c r="D10" s="141">
        <f t="shared" si="0"/>
        <v>0.16666666666666666</v>
      </c>
    </row>
    <row r="11" spans="1:4">
      <c r="A11" s="142" t="s">
        <v>68</v>
      </c>
      <c r="B11">
        <v>0.94899999999999995</v>
      </c>
      <c r="C11" s="141">
        <v>0.55000000000000004</v>
      </c>
      <c r="D11" s="141">
        <f t="shared" si="0"/>
        <v>0.18333333333333335</v>
      </c>
    </row>
    <row r="12" spans="1:4">
      <c r="D12" s="141"/>
    </row>
    <row r="13" spans="1:4">
      <c r="D13" s="141"/>
    </row>
    <row r="14" spans="1:4">
      <c r="A14" s="142" t="s">
        <v>69</v>
      </c>
      <c r="B14">
        <v>6300</v>
      </c>
      <c r="C14" s="141">
        <v>5629</v>
      </c>
      <c r="D14" s="141">
        <f>C14/3</f>
        <v>1876.3333333333333</v>
      </c>
    </row>
    <row r="15" spans="1:4">
      <c r="D15" s="141"/>
    </row>
    <row r="17" spans="1:4">
      <c r="A17" s="142" t="s">
        <v>47</v>
      </c>
      <c r="B17">
        <v>0.45</v>
      </c>
      <c r="C17">
        <v>0.22</v>
      </c>
      <c r="D17">
        <f>C17/3</f>
        <v>7.3333333333333334E-2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CC4C-1CD6-4ED3-B7AF-3DB419086865}">
  <dimension ref="A1:C38"/>
  <sheetViews>
    <sheetView workbookViewId="0">
      <selection activeCell="B8" sqref="B8"/>
    </sheetView>
  </sheetViews>
  <sheetFormatPr defaultRowHeight="15"/>
  <cols>
    <col min="1" max="2" width="9.140625" style="66"/>
    <col min="3" max="3" width="9.140625" style="1"/>
  </cols>
  <sheetData>
    <row r="1" spans="1:3">
      <c r="A1" s="66" t="s">
        <v>70</v>
      </c>
    </row>
    <row r="3" spans="1:3">
      <c r="A3" s="1">
        <f>SUM(A5:A525)</f>
        <v>246</v>
      </c>
      <c r="C3" s="1">
        <f>SUM(C5:C525)</f>
        <v>119.1</v>
      </c>
    </row>
    <row r="4" spans="1:3">
      <c r="A4" s="66" t="s">
        <v>71</v>
      </c>
      <c r="B4" s="66" t="s">
        <v>72</v>
      </c>
      <c r="C4" s="1" t="s">
        <v>70</v>
      </c>
    </row>
    <row r="5" spans="1:3">
      <c r="A5" s="66">
        <v>26.8</v>
      </c>
      <c r="B5" s="66">
        <v>1</v>
      </c>
      <c r="C5" s="1">
        <f>IFERROR(A5/B5,0)</f>
        <v>26.8</v>
      </c>
    </row>
    <row r="6" spans="1:3">
      <c r="A6" s="66">
        <v>22.3</v>
      </c>
      <c r="B6" s="66">
        <v>1</v>
      </c>
      <c r="C6" s="1">
        <f t="shared" ref="C6:C38" si="0">IFERROR(A6/B6,0)</f>
        <v>22.3</v>
      </c>
    </row>
    <row r="7" spans="1:3">
      <c r="A7" s="66">
        <v>23</v>
      </c>
      <c r="B7" s="66">
        <v>1</v>
      </c>
      <c r="C7" s="1">
        <f t="shared" si="0"/>
        <v>23</v>
      </c>
    </row>
    <row r="8" spans="1:3">
      <c r="A8" s="66">
        <v>58</v>
      </c>
      <c r="B8" s="66">
        <v>5</v>
      </c>
      <c r="C8" s="1">
        <f t="shared" si="0"/>
        <v>11.6</v>
      </c>
    </row>
    <row r="9" spans="1:3">
      <c r="A9" s="66">
        <v>-69</v>
      </c>
      <c r="B9" s="66">
        <v>5</v>
      </c>
      <c r="C9" s="1">
        <f t="shared" si="0"/>
        <v>-13.8</v>
      </c>
    </row>
    <row r="10" spans="1:3">
      <c r="A10" s="66">
        <v>3.5</v>
      </c>
      <c r="B10" s="66">
        <v>5</v>
      </c>
      <c r="C10" s="1">
        <f t="shared" si="0"/>
        <v>0.7</v>
      </c>
    </row>
    <row r="11" spans="1:3">
      <c r="A11" s="66">
        <v>11.5</v>
      </c>
      <c r="B11" s="66">
        <v>5</v>
      </c>
      <c r="C11" s="1">
        <f t="shared" si="0"/>
        <v>2.2999999999999998</v>
      </c>
    </row>
    <row r="12" spans="1:3">
      <c r="A12" s="66">
        <v>3.7</v>
      </c>
      <c r="B12" s="66">
        <v>1</v>
      </c>
      <c r="C12" s="1">
        <f t="shared" si="0"/>
        <v>3.7</v>
      </c>
    </row>
    <row r="13" spans="1:3">
      <c r="A13" s="66">
        <v>9.1999999999999993</v>
      </c>
      <c r="B13" s="66">
        <v>4</v>
      </c>
      <c r="C13" s="1">
        <f t="shared" si="0"/>
        <v>2.2999999999999998</v>
      </c>
    </row>
    <row r="14" spans="1:3">
      <c r="A14" s="66">
        <v>41.6</v>
      </c>
      <c r="B14" s="66">
        <v>4</v>
      </c>
      <c r="C14" s="1">
        <f t="shared" si="0"/>
        <v>10.4</v>
      </c>
    </row>
    <row r="15" spans="1:3">
      <c r="A15" s="66">
        <v>21.6</v>
      </c>
      <c r="B15" s="66">
        <v>4</v>
      </c>
      <c r="C15" s="1">
        <f t="shared" si="0"/>
        <v>5.4</v>
      </c>
    </row>
    <row r="16" spans="1:3">
      <c r="A16" s="66">
        <v>2.9</v>
      </c>
      <c r="B16" s="66">
        <v>1</v>
      </c>
      <c r="C16" s="1">
        <f t="shared" si="0"/>
        <v>2.9</v>
      </c>
    </row>
    <row r="17" spans="1:3">
      <c r="A17" s="66">
        <v>28</v>
      </c>
      <c r="B17" s="66">
        <v>4</v>
      </c>
      <c r="C17" s="1">
        <f t="shared" si="0"/>
        <v>7</v>
      </c>
    </row>
    <row r="18" spans="1:3">
      <c r="A18" s="66">
        <v>10.5</v>
      </c>
      <c r="B18" s="66">
        <v>5</v>
      </c>
      <c r="C18" s="1">
        <f t="shared" si="0"/>
        <v>2.1</v>
      </c>
    </row>
    <row r="19" spans="1:3">
      <c r="A19" s="66">
        <v>38.4</v>
      </c>
      <c r="B19" s="66">
        <v>4</v>
      </c>
      <c r="C19" s="1">
        <f t="shared" si="0"/>
        <v>9.6</v>
      </c>
    </row>
    <row r="20" spans="1:3">
      <c r="A20" s="66">
        <v>14</v>
      </c>
      <c r="B20" s="66">
        <v>5</v>
      </c>
      <c r="C20" s="1">
        <f t="shared" si="0"/>
        <v>2.8</v>
      </c>
    </row>
    <row r="21" spans="1:3">
      <c r="C21" s="1">
        <f t="shared" si="0"/>
        <v>0</v>
      </c>
    </row>
    <row r="22" spans="1:3">
      <c r="C22" s="1">
        <f t="shared" si="0"/>
        <v>0</v>
      </c>
    </row>
    <row r="23" spans="1:3">
      <c r="C23" s="1">
        <f t="shared" si="0"/>
        <v>0</v>
      </c>
    </row>
    <row r="24" spans="1:3">
      <c r="C24" s="1">
        <f t="shared" si="0"/>
        <v>0</v>
      </c>
    </row>
    <row r="25" spans="1:3">
      <c r="C25" s="1">
        <f t="shared" si="0"/>
        <v>0</v>
      </c>
    </row>
    <row r="26" spans="1:3">
      <c r="C26" s="1">
        <f t="shared" si="0"/>
        <v>0</v>
      </c>
    </row>
    <row r="27" spans="1:3">
      <c r="C27" s="1">
        <f t="shared" si="0"/>
        <v>0</v>
      </c>
    </row>
    <row r="28" spans="1:3">
      <c r="C28" s="1">
        <f t="shared" si="0"/>
        <v>0</v>
      </c>
    </row>
    <row r="29" spans="1:3">
      <c r="C29" s="1">
        <f t="shared" si="0"/>
        <v>0</v>
      </c>
    </row>
    <row r="30" spans="1:3">
      <c r="C30" s="1">
        <f t="shared" si="0"/>
        <v>0</v>
      </c>
    </row>
    <row r="31" spans="1:3">
      <c r="C31" s="1">
        <f t="shared" si="0"/>
        <v>0</v>
      </c>
    </row>
    <row r="32" spans="1:3">
      <c r="C32" s="1">
        <f t="shared" si="0"/>
        <v>0</v>
      </c>
    </row>
    <row r="33" spans="3:3">
      <c r="C33" s="1">
        <f t="shared" si="0"/>
        <v>0</v>
      </c>
    </row>
    <row r="34" spans="3:3">
      <c r="C34" s="1">
        <f t="shared" si="0"/>
        <v>0</v>
      </c>
    </row>
    <row r="35" spans="3:3">
      <c r="C35" s="1">
        <f t="shared" si="0"/>
        <v>0</v>
      </c>
    </row>
    <row r="36" spans="3:3">
      <c r="C36" s="1">
        <f t="shared" si="0"/>
        <v>0</v>
      </c>
    </row>
    <row r="37" spans="3:3">
      <c r="C37" s="1">
        <f t="shared" si="0"/>
        <v>0</v>
      </c>
    </row>
    <row r="38" spans="3:3">
      <c r="C38" s="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35"/>
  <sheetViews>
    <sheetView workbookViewId="0">
      <selection activeCell="A7" sqref="A7"/>
    </sheetView>
  </sheetViews>
  <sheetFormatPr defaultColWidth="9.140625" defaultRowHeight="15"/>
  <cols>
    <col min="1" max="1" width="13" style="1" bestFit="1" customWidth="1"/>
    <col min="2" max="2" width="14.7109375" style="1" bestFit="1" customWidth="1"/>
    <col min="3" max="3" width="27.7109375" style="1" bestFit="1" customWidth="1"/>
    <col min="4" max="4" width="18.85546875" style="1" bestFit="1" customWidth="1"/>
    <col min="5" max="5" width="16.140625" style="1" bestFit="1" customWidth="1"/>
    <col min="6" max="6" width="18.85546875" style="1" bestFit="1" customWidth="1"/>
    <col min="7" max="7" width="9.140625" style="1"/>
    <col min="8" max="8" width="14.42578125" style="1" bestFit="1" customWidth="1"/>
    <col min="9" max="9" width="14.5703125" style="1" bestFit="1" customWidth="1"/>
    <col min="10" max="10" width="13.85546875" style="1" bestFit="1" customWidth="1"/>
    <col min="11" max="11" width="19.85546875" style="1" bestFit="1" customWidth="1"/>
    <col min="12" max="12" width="17.5703125" style="1" bestFit="1" customWidth="1"/>
    <col min="13" max="13" width="18.85546875" style="1" bestFit="1" customWidth="1"/>
    <col min="14" max="14" width="27.42578125" style="1" bestFit="1" customWidth="1"/>
    <col min="15" max="15" width="13.85546875" style="32" bestFit="1" customWidth="1"/>
    <col min="16" max="16" width="13.85546875" style="1" bestFit="1" customWidth="1"/>
    <col min="17" max="17" width="9.5703125" style="1" bestFit="1" customWidth="1"/>
    <col min="18" max="16384" width="9.140625" style="1"/>
  </cols>
  <sheetData>
    <row r="2" spans="1:18">
      <c r="A2" s="31" t="s">
        <v>73</v>
      </c>
      <c r="I2" s="1" t="s">
        <v>74</v>
      </c>
      <c r="N2" s="1" t="s">
        <v>75</v>
      </c>
    </row>
    <row r="4" spans="1:18" s="36" customFormat="1" ht="28.5">
      <c r="A4" s="33"/>
      <c r="B4" s="33"/>
      <c r="C4" s="33" t="s">
        <v>76</v>
      </c>
      <c r="D4" s="33"/>
      <c r="E4" s="33"/>
      <c r="F4" s="33"/>
      <c r="G4" s="34"/>
      <c r="H4" s="33"/>
      <c r="I4" s="33"/>
      <c r="J4" s="33"/>
      <c r="K4" s="33" t="s">
        <v>77</v>
      </c>
      <c r="L4" s="33"/>
      <c r="M4" s="33"/>
      <c r="N4" s="33"/>
      <c r="O4" s="35"/>
      <c r="P4" s="33"/>
      <c r="Q4" s="33"/>
      <c r="R4" s="33"/>
    </row>
    <row r="5" spans="1:18" s="36" customFormat="1" ht="28.5">
      <c r="A5" s="33"/>
      <c r="B5" s="33"/>
      <c r="C5" s="33"/>
      <c r="D5" s="33"/>
      <c r="E5" s="33"/>
      <c r="F5" s="33" t="s">
        <v>78</v>
      </c>
      <c r="G5" s="34"/>
      <c r="H5" s="33"/>
      <c r="I5" s="33"/>
      <c r="J5" s="33" t="s">
        <v>79</v>
      </c>
      <c r="K5" s="33"/>
      <c r="L5" s="33"/>
      <c r="M5" s="33"/>
      <c r="N5" s="33"/>
      <c r="O5" s="35"/>
      <c r="P5" s="33"/>
      <c r="Q5" s="33"/>
      <c r="R5" s="33"/>
    </row>
    <row r="6" spans="1:18" s="36" customFormat="1" ht="28.5">
      <c r="A6" s="33" t="s">
        <v>80</v>
      </c>
      <c r="B6" s="33" t="s">
        <v>81</v>
      </c>
      <c r="C6" s="33" t="s">
        <v>82</v>
      </c>
      <c r="D6" s="33" t="s">
        <v>83</v>
      </c>
      <c r="E6" s="33" t="s">
        <v>84</v>
      </c>
      <c r="F6" s="33" t="s">
        <v>85</v>
      </c>
      <c r="G6" s="34"/>
      <c r="H6" s="33"/>
      <c r="I6" s="33" t="s">
        <v>80</v>
      </c>
      <c r="J6" s="33" t="s">
        <v>84</v>
      </c>
      <c r="K6" s="33" t="s">
        <v>81</v>
      </c>
      <c r="L6" s="33" t="s">
        <v>86</v>
      </c>
      <c r="M6" s="33" t="s">
        <v>85</v>
      </c>
      <c r="N6" s="33" t="s">
        <v>82</v>
      </c>
      <c r="O6" s="35"/>
      <c r="P6" s="33"/>
      <c r="Q6" s="33"/>
      <c r="R6" s="33"/>
    </row>
    <row r="7" spans="1:18" s="36" customFormat="1" ht="28.5">
      <c r="A7" s="37">
        <v>5</v>
      </c>
      <c r="B7" s="38">
        <v>50</v>
      </c>
      <c r="C7" s="38">
        <v>3</v>
      </c>
      <c r="D7" s="39">
        <f>B7*A7</f>
        <v>250</v>
      </c>
      <c r="E7" s="33">
        <f>B7*C7</f>
        <v>150</v>
      </c>
      <c r="F7" s="39">
        <f>E7*A7</f>
        <v>750</v>
      </c>
      <c r="G7" s="34"/>
      <c r="H7" s="38" t="s">
        <v>51</v>
      </c>
      <c r="I7" s="67">
        <v>5</v>
      </c>
      <c r="J7" s="38">
        <v>150</v>
      </c>
      <c r="K7" s="38">
        <v>50</v>
      </c>
      <c r="L7" s="40">
        <f>SUM(K12:K21)</f>
        <v>150</v>
      </c>
      <c r="M7" s="41">
        <f>SUM(M12:M21)</f>
        <v>850</v>
      </c>
      <c r="N7" s="35">
        <f>IFERROR(M7/L7,0)</f>
        <v>5.666666666666667</v>
      </c>
      <c r="O7" s="35"/>
      <c r="P7" s="33"/>
      <c r="Q7" s="33"/>
      <c r="R7" s="33"/>
    </row>
    <row r="8" spans="1:18" s="36" customFormat="1" ht="28.5">
      <c r="A8" s="33"/>
      <c r="B8" s="33" t="s">
        <v>87</v>
      </c>
      <c r="C8" s="33"/>
      <c r="D8" s="33"/>
      <c r="E8" s="33"/>
      <c r="F8" s="33"/>
      <c r="G8" s="34"/>
      <c r="H8" s="38" t="s">
        <v>88</v>
      </c>
      <c r="I8" s="38">
        <v>5</v>
      </c>
      <c r="J8" s="33" t="s">
        <v>89</v>
      </c>
      <c r="K8" s="42">
        <f>K7/I8</f>
        <v>10</v>
      </c>
      <c r="L8" s="39"/>
      <c r="M8" s="33" t="s">
        <v>90</v>
      </c>
      <c r="N8" s="41">
        <f>SUM(N12:N21)</f>
        <v>100</v>
      </c>
      <c r="O8" s="35"/>
      <c r="P8" s="33"/>
      <c r="Q8" s="33"/>
      <c r="R8" s="33"/>
    </row>
    <row r="9" spans="1:18" ht="28.5">
      <c r="A9" s="2"/>
      <c r="B9" s="2"/>
      <c r="C9" s="2"/>
      <c r="D9" s="2"/>
      <c r="E9" s="2"/>
      <c r="F9" s="2"/>
      <c r="G9" s="43"/>
      <c r="H9" s="33" t="s">
        <v>91</v>
      </c>
      <c r="I9" s="2"/>
      <c r="J9" s="2"/>
      <c r="K9" s="2"/>
      <c r="L9" s="2"/>
      <c r="M9" s="2"/>
      <c r="N9" s="2"/>
      <c r="O9" s="44"/>
      <c r="P9" s="45" t="s">
        <v>92</v>
      </c>
      <c r="Q9" s="45" t="s">
        <v>92</v>
      </c>
      <c r="R9" s="2"/>
    </row>
    <row r="10" spans="1:18" ht="28.5">
      <c r="A10" s="2"/>
      <c r="B10" s="2"/>
      <c r="C10" s="4">
        <f>SUM(C12:C21)</f>
        <v>2250</v>
      </c>
      <c r="D10" s="4">
        <f>SUM(D12:D21)</f>
        <v>1750</v>
      </c>
      <c r="E10" s="4">
        <f>C10-D10</f>
        <v>500</v>
      </c>
      <c r="F10" s="2"/>
      <c r="G10" s="43"/>
      <c r="H10" s="33" t="s">
        <v>80</v>
      </c>
      <c r="I10" s="39">
        <f>SUM(I12:I21)</f>
        <v>5</v>
      </c>
      <c r="J10" s="46"/>
      <c r="K10" s="46" t="s">
        <v>93</v>
      </c>
      <c r="L10" s="46" t="s">
        <v>94</v>
      </c>
      <c r="M10" s="46" t="s">
        <v>95</v>
      </c>
      <c r="N10" s="46"/>
      <c r="O10" s="46"/>
      <c r="P10" s="46" t="s">
        <v>96</v>
      </c>
      <c r="Q10" s="46" t="s">
        <v>97</v>
      </c>
      <c r="R10" s="2"/>
    </row>
    <row r="11" spans="1:18" s="47" customFormat="1" ht="26.25">
      <c r="C11" s="47" t="s">
        <v>98</v>
      </c>
      <c r="D11" s="47" t="s">
        <v>99</v>
      </c>
      <c r="G11" s="48"/>
      <c r="H11" s="46"/>
      <c r="I11" s="46" t="s">
        <v>80</v>
      </c>
      <c r="J11" s="46" t="s">
        <v>100</v>
      </c>
      <c r="K11" s="46" t="s">
        <v>86</v>
      </c>
      <c r="L11" s="46" t="s">
        <v>27</v>
      </c>
      <c r="M11" s="46" t="s">
        <v>85</v>
      </c>
      <c r="N11" s="46" t="s">
        <v>90</v>
      </c>
      <c r="O11" s="49" t="s">
        <v>82</v>
      </c>
      <c r="P11" s="46" t="s">
        <v>101</v>
      </c>
      <c r="Q11" s="46" t="s">
        <v>101</v>
      </c>
      <c r="R11" s="46"/>
    </row>
    <row r="12" spans="1:18" s="47" customFormat="1" ht="26.25">
      <c r="A12" s="50"/>
      <c r="B12" s="47">
        <v>1</v>
      </c>
      <c r="C12" s="50">
        <f>$F$7</f>
        <v>750</v>
      </c>
      <c r="D12" s="50"/>
      <c r="G12" s="48"/>
      <c r="H12" s="46">
        <v>1</v>
      </c>
      <c r="I12" s="51">
        <f>$I$7/$I$8</f>
        <v>1</v>
      </c>
      <c r="J12" s="52">
        <f>K7</f>
        <v>50</v>
      </c>
      <c r="K12" s="51">
        <f t="shared" ref="K12" si="0">J12*I12</f>
        <v>50</v>
      </c>
      <c r="L12" s="53">
        <f>J7</f>
        <v>150</v>
      </c>
      <c r="M12" s="51">
        <f t="shared" ref="M12" si="1">I12*L12</f>
        <v>150</v>
      </c>
      <c r="N12" s="46">
        <v>0</v>
      </c>
      <c r="O12" s="49">
        <f t="shared" ref="O12" si="2">IFERROR(M12/K12,0)</f>
        <v>3</v>
      </c>
      <c r="P12" s="54">
        <v>1000</v>
      </c>
      <c r="Q12" s="54">
        <v>1000</v>
      </c>
      <c r="R12" s="46"/>
    </row>
    <row r="13" spans="1:18" s="47" customFormat="1" ht="26.25">
      <c r="B13" s="47">
        <f>1+B12</f>
        <v>2</v>
      </c>
      <c r="C13" s="50">
        <f t="shared" ref="C13:C14" si="3">$F$7</f>
        <v>750</v>
      </c>
      <c r="G13" s="48"/>
      <c r="H13" s="55">
        <f>1+H12</f>
        <v>2</v>
      </c>
      <c r="I13" s="56">
        <f>$I$7/$I$8</f>
        <v>1</v>
      </c>
      <c r="J13" s="57">
        <f>$K$7-($K$8*H12)</f>
        <v>40</v>
      </c>
      <c r="K13" s="56">
        <f>J13*I13</f>
        <v>40</v>
      </c>
      <c r="L13" s="58">
        <f>$J$7+($K$8*H12)</f>
        <v>160</v>
      </c>
      <c r="M13" s="56">
        <f>I13*L13</f>
        <v>160</v>
      </c>
      <c r="N13" s="56">
        <f>SUM($K$7-J13)*I13</f>
        <v>10</v>
      </c>
      <c r="O13" s="59">
        <f>IFERROR(M13/K13,0)</f>
        <v>4</v>
      </c>
      <c r="P13" s="60">
        <f>P12-$K$8</f>
        <v>990</v>
      </c>
      <c r="Q13" s="60">
        <f>Q12+$K$8</f>
        <v>1010</v>
      </c>
      <c r="R13" s="46"/>
    </row>
    <row r="14" spans="1:18" s="47" customFormat="1" ht="26.25">
      <c r="B14" s="47">
        <f t="shared" ref="B14:B21" si="4">1+B13</f>
        <v>3</v>
      </c>
      <c r="C14" s="50">
        <f t="shared" si="3"/>
        <v>750</v>
      </c>
      <c r="D14" s="50"/>
      <c r="G14" s="48"/>
      <c r="H14" s="47">
        <f t="shared" ref="H14:H20" si="5">1+H13</f>
        <v>3</v>
      </c>
      <c r="I14" s="56">
        <f>$I$7/$I$8</f>
        <v>1</v>
      </c>
      <c r="J14" s="57">
        <f>$K$7-($K$8*H13)</f>
        <v>30</v>
      </c>
      <c r="K14" s="56">
        <f>J14*I14</f>
        <v>30</v>
      </c>
      <c r="L14" s="58">
        <f>$J$7+($K$8*H13)</f>
        <v>170</v>
      </c>
      <c r="M14" s="56">
        <f>I14*L14</f>
        <v>170</v>
      </c>
      <c r="N14" s="56">
        <f>SUM($K$7-J14)*I14</f>
        <v>20</v>
      </c>
      <c r="O14" s="59">
        <f>IFERROR(M14/K14,0)</f>
        <v>5.666666666666667</v>
      </c>
      <c r="P14" s="52">
        <f t="shared" ref="P14:P21" si="6">P13-$K$8</f>
        <v>980</v>
      </c>
      <c r="Q14" s="52">
        <f t="shared" ref="Q14:Q21" si="7">Q13+$K$8</f>
        <v>1020</v>
      </c>
      <c r="R14" s="46"/>
    </row>
    <row r="15" spans="1:18" s="47" customFormat="1" ht="26.25">
      <c r="B15" s="47">
        <f t="shared" si="4"/>
        <v>4</v>
      </c>
      <c r="C15" s="50"/>
      <c r="D15" s="50">
        <f t="shared" ref="D15:D21" si="8">$D$7</f>
        <v>250</v>
      </c>
      <c r="G15" s="48"/>
      <c r="H15" s="47">
        <f t="shared" si="5"/>
        <v>4</v>
      </c>
      <c r="I15" s="56">
        <f>$I$7/$I$8</f>
        <v>1</v>
      </c>
      <c r="J15" s="57">
        <f>$K$7-($K$8*H14)</f>
        <v>20</v>
      </c>
      <c r="K15" s="56">
        <f>J15*I15</f>
        <v>20</v>
      </c>
      <c r="L15" s="58">
        <f>$J$7+($K$8*H14)</f>
        <v>180</v>
      </c>
      <c r="M15" s="56">
        <f>I15*L15</f>
        <v>180</v>
      </c>
      <c r="N15" s="56">
        <f>SUM($K$7-J15)*I15</f>
        <v>30</v>
      </c>
      <c r="O15" s="59">
        <f>IFERROR(M15/K15,0)</f>
        <v>9</v>
      </c>
      <c r="P15" s="52">
        <f t="shared" si="6"/>
        <v>970</v>
      </c>
      <c r="Q15" s="52">
        <f t="shared" si="7"/>
        <v>1030</v>
      </c>
      <c r="R15" s="46"/>
    </row>
    <row r="16" spans="1:18" s="47" customFormat="1" ht="26.25">
      <c r="B16" s="47">
        <f t="shared" si="4"/>
        <v>5</v>
      </c>
      <c r="C16" s="50"/>
      <c r="D16" s="50">
        <f t="shared" si="8"/>
        <v>250</v>
      </c>
      <c r="G16" s="48"/>
      <c r="H16" s="47">
        <f t="shared" si="5"/>
        <v>5</v>
      </c>
      <c r="I16" s="56">
        <f>$I$7/$I$8</f>
        <v>1</v>
      </c>
      <c r="J16" s="57">
        <f>$K$7-($K$8*H15)</f>
        <v>10</v>
      </c>
      <c r="K16" s="56">
        <f>J16*I16</f>
        <v>10</v>
      </c>
      <c r="L16" s="58">
        <f>$J$7+($K$8*H15)</f>
        <v>190</v>
      </c>
      <c r="M16" s="56">
        <f>I16*L16</f>
        <v>190</v>
      </c>
      <c r="N16" s="56">
        <f>SUM($K$7-J16)*I16</f>
        <v>40</v>
      </c>
      <c r="O16" s="59">
        <f>IFERROR(M16/K16,0)</f>
        <v>19</v>
      </c>
      <c r="P16" s="52">
        <f t="shared" si="6"/>
        <v>960</v>
      </c>
      <c r="Q16" s="52">
        <f t="shared" si="7"/>
        <v>1040</v>
      </c>
      <c r="R16" s="46"/>
    </row>
    <row r="17" spans="2:18" s="47" customFormat="1" ht="26.25">
      <c r="B17" s="47">
        <f t="shared" si="4"/>
        <v>6</v>
      </c>
      <c r="C17" s="50"/>
      <c r="D17" s="50">
        <f t="shared" si="8"/>
        <v>250</v>
      </c>
      <c r="G17" s="48"/>
      <c r="H17" s="47">
        <f t="shared" si="5"/>
        <v>6</v>
      </c>
      <c r="I17" s="56"/>
      <c r="J17" s="57"/>
      <c r="K17" s="56"/>
      <c r="L17" s="58"/>
      <c r="M17" s="56"/>
      <c r="N17" s="56"/>
      <c r="O17" s="59"/>
      <c r="P17" s="52">
        <f t="shared" si="6"/>
        <v>950</v>
      </c>
      <c r="Q17" s="52">
        <f t="shared" si="7"/>
        <v>1050</v>
      </c>
      <c r="R17" s="46"/>
    </row>
    <row r="18" spans="2:18" s="47" customFormat="1" ht="26.25">
      <c r="B18" s="47">
        <f t="shared" si="4"/>
        <v>7</v>
      </c>
      <c r="C18" s="50"/>
      <c r="D18" s="50">
        <f t="shared" si="8"/>
        <v>250</v>
      </c>
      <c r="G18" s="48"/>
      <c r="H18" s="47">
        <f t="shared" si="5"/>
        <v>7</v>
      </c>
      <c r="I18" s="56"/>
      <c r="J18" s="57"/>
      <c r="K18" s="56"/>
      <c r="L18" s="58"/>
      <c r="M18" s="56"/>
      <c r="N18" s="56"/>
      <c r="O18" s="59"/>
      <c r="P18" s="52">
        <f t="shared" si="6"/>
        <v>940</v>
      </c>
      <c r="Q18" s="52">
        <f t="shared" si="7"/>
        <v>1060</v>
      </c>
      <c r="R18" s="46"/>
    </row>
    <row r="19" spans="2:18" s="47" customFormat="1" ht="26.25">
      <c r="B19" s="47">
        <f t="shared" si="4"/>
        <v>8</v>
      </c>
      <c r="C19" s="50"/>
      <c r="D19" s="50">
        <f t="shared" si="8"/>
        <v>250</v>
      </c>
      <c r="G19" s="48"/>
      <c r="H19" s="47">
        <f t="shared" si="5"/>
        <v>8</v>
      </c>
      <c r="I19" s="56"/>
      <c r="J19" s="57"/>
      <c r="K19" s="56"/>
      <c r="L19" s="58"/>
      <c r="M19" s="56"/>
      <c r="N19" s="56"/>
      <c r="O19" s="59"/>
      <c r="P19" s="52">
        <f t="shared" si="6"/>
        <v>930</v>
      </c>
      <c r="Q19" s="52">
        <f t="shared" si="7"/>
        <v>1070</v>
      </c>
      <c r="R19" s="46"/>
    </row>
    <row r="20" spans="2:18" s="47" customFormat="1" ht="26.25">
      <c r="B20" s="47">
        <f t="shared" si="4"/>
        <v>9</v>
      </c>
      <c r="D20" s="50">
        <f t="shared" si="8"/>
        <v>250</v>
      </c>
      <c r="G20" s="48"/>
      <c r="H20" s="47">
        <f t="shared" si="5"/>
        <v>9</v>
      </c>
      <c r="I20" s="56"/>
      <c r="J20" s="57"/>
      <c r="K20" s="56"/>
      <c r="L20" s="58"/>
      <c r="M20" s="56"/>
      <c r="N20" s="56"/>
      <c r="O20" s="59"/>
      <c r="P20" s="52">
        <f t="shared" si="6"/>
        <v>920</v>
      </c>
      <c r="Q20" s="52">
        <f t="shared" si="7"/>
        <v>1080</v>
      </c>
      <c r="R20" s="46"/>
    </row>
    <row r="21" spans="2:18" s="47" customFormat="1" ht="26.25">
      <c r="B21" s="47">
        <f t="shared" si="4"/>
        <v>10</v>
      </c>
      <c r="D21" s="50">
        <f t="shared" si="8"/>
        <v>250</v>
      </c>
      <c r="G21" s="48"/>
      <c r="H21" s="47">
        <f>1+H20</f>
        <v>10</v>
      </c>
      <c r="I21" s="56"/>
      <c r="J21" s="57"/>
      <c r="K21" s="56"/>
      <c r="L21" s="58"/>
      <c r="M21" s="56"/>
      <c r="N21" s="56"/>
      <c r="O21" s="59"/>
      <c r="P21" s="52">
        <f t="shared" si="6"/>
        <v>910</v>
      </c>
      <c r="Q21" s="52">
        <f t="shared" si="7"/>
        <v>1090</v>
      </c>
      <c r="R21" s="46"/>
    </row>
    <row r="22" spans="2:18" s="47" customFormat="1" ht="26.25">
      <c r="I22" s="61"/>
      <c r="J22" s="62"/>
      <c r="K22" s="61"/>
      <c r="L22" s="63"/>
      <c r="M22" s="61"/>
      <c r="N22" s="61"/>
      <c r="O22" s="64"/>
    </row>
    <row r="23" spans="2:18" s="47" customFormat="1" ht="26.25">
      <c r="I23" s="61"/>
      <c r="J23" s="61"/>
      <c r="K23" s="61"/>
      <c r="L23" s="61"/>
      <c r="O23" s="64"/>
    </row>
    <row r="24" spans="2:18" s="47" customFormat="1" ht="26.25">
      <c r="I24" s="61"/>
      <c r="J24" s="61"/>
      <c r="K24" s="61"/>
      <c r="L24" s="61"/>
      <c r="O24" s="64"/>
    </row>
    <row r="25" spans="2:18" s="47" customFormat="1" ht="26.25">
      <c r="I25" s="61"/>
      <c r="J25" s="61"/>
      <c r="K25" s="61"/>
      <c r="L25" s="61"/>
      <c r="O25" s="64"/>
    </row>
    <row r="26" spans="2:18" s="47" customFormat="1" ht="26.25">
      <c r="I26" s="61"/>
      <c r="J26" s="61"/>
      <c r="K26" s="61"/>
      <c r="L26" s="61"/>
      <c r="O26" s="64"/>
    </row>
    <row r="27" spans="2:18" s="47" customFormat="1" ht="26.25">
      <c r="I27" s="61"/>
      <c r="J27" s="61"/>
      <c r="K27" s="61"/>
      <c r="L27" s="61"/>
      <c r="O27" s="64"/>
    </row>
    <row r="28" spans="2:18" s="47" customFormat="1" ht="26.25">
      <c r="I28" s="61"/>
      <c r="J28" s="61"/>
      <c r="K28" s="61"/>
      <c r="L28" s="61"/>
      <c r="O28" s="64"/>
    </row>
    <row r="29" spans="2:18" s="47" customFormat="1" ht="26.25">
      <c r="I29" s="61"/>
      <c r="J29" s="61"/>
      <c r="K29" s="61"/>
      <c r="L29" s="61"/>
      <c r="O29" s="64"/>
    </row>
    <row r="30" spans="2:18" s="47" customFormat="1" ht="26.25">
      <c r="I30" s="61"/>
      <c r="J30" s="61"/>
      <c r="K30" s="61"/>
      <c r="L30" s="61"/>
      <c r="O30" s="64"/>
    </row>
    <row r="31" spans="2:18" s="47" customFormat="1" ht="26.25">
      <c r="I31" s="61"/>
      <c r="J31" s="61"/>
      <c r="K31" s="61"/>
      <c r="L31" s="61"/>
      <c r="O31" s="64"/>
    </row>
    <row r="32" spans="2:18" s="47" customFormat="1" ht="26.25">
      <c r="O32" s="64"/>
    </row>
    <row r="33" spans="15:15" s="47" customFormat="1" ht="26.25">
      <c r="O33" s="64"/>
    </row>
    <row r="34" spans="15:15" s="47" customFormat="1" ht="26.25">
      <c r="O34" s="64"/>
    </row>
    <row r="35" spans="15:15" s="47" customFormat="1" ht="26.25">
      <c r="O35" s="6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42DD-2101-4EB2-A3FB-BD6258C9DB20}">
  <dimension ref="B3:L21"/>
  <sheetViews>
    <sheetView workbookViewId="0">
      <selection activeCell="G25" sqref="G25"/>
    </sheetView>
  </sheetViews>
  <sheetFormatPr defaultRowHeight="28.5"/>
  <cols>
    <col min="1" max="1" width="9.140625" style="69"/>
    <col min="2" max="2" width="28.85546875" style="69" bestFit="1" customWidth="1"/>
    <col min="3" max="3" width="20.28515625" style="69" bestFit="1" customWidth="1"/>
    <col min="4" max="4" width="21.5703125" style="69" bestFit="1" customWidth="1"/>
    <col min="5" max="5" width="24.5703125" style="69" bestFit="1" customWidth="1"/>
    <col min="6" max="6" width="22.28515625" style="69" bestFit="1" customWidth="1"/>
    <col min="7" max="7" width="18.5703125" style="69" bestFit="1" customWidth="1"/>
    <col min="8" max="8" width="21.7109375" style="69" bestFit="1" customWidth="1"/>
    <col min="9" max="9" width="19" style="69" customWidth="1"/>
    <col min="10" max="16384" width="9.140625" style="69"/>
  </cols>
  <sheetData>
    <row r="3" spans="2:12">
      <c r="B3" s="161" t="s">
        <v>102</v>
      </c>
      <c r="C3" s="161"/>
      <c r="D3" s="68"/>
      <c r="E3" s="68" t="s">
        <v>103</v>
      </c>
      <c r="F3" s="68"/>
      <c r="G3" s="68"/>
      <c r="H3" s="68"/>
      <c r="I3" s="68"/>
      <c r="J3" s="68"/>
      <c r="K3" s="68"/>
      <c r="L3" s="68"/>
    </row>
    <row r="4" spans="2:12">
      <c r="B4" s="70"/>
      <c r="C4" s="70" t="s">
        <v>104</v>
      </c>
      <c r="D4" s="70" t="s">
        <v>105</v>
      </c>
      <c r="E4" s="70" t="s">
        <v>106</v>
      </c>
      <c r="F4" s="70" t="s">
        <v>13</v>
      </c>
      <c r="G4" s="70" t="s">
        <v>107</v>
      </c>
      <c r="H4" s="70"/>
      <c r="I4" s="70"/>
      <c r="J4" s="70"/>
      <c r="K4" s="70"/>
      <c r="L4" s="70"/>
    </row>
    <row r="5" spans="2:12">
      <c r="B5" s="70" t="s">
        <v>108</v>
      </c>
      <c r="C5" s="70" t="s">
        <v>109</v>
      </c>
      <c r="D5" s="70" t="s">
        <v>109</v>
      </c>
      <c r="E5" s="70" t="s">
        <v>110</v>
      </c>
      <c r="F5" s="70" t="s">
        <v>111</v>
      </c>
      <c r="G5" s="70" t="s">
        <v>72</v>
      </c>
      <c r="H5" s="70"/>
      <c r="I5" s="70"/>
      <c r="J5" s="70"/>
      <c r="K5" s="70"/>
      <c r="L5" s="70"/>
    </row>
    <row r="6" spans="2:12">
      <c r="B6" s="122">
        <v>300000</v>
      </c>
      <c r="C6" s="76">
        <v>0.25</v>
      </c>
      <c r="D6" s="123">
        <f>SUM(B6/100*C6)</f>
        <v>750</v>
      </c>
      <c r="E6" s="78">
        <v>5</v>
      </c>
      <c r="F6" s="123">
        <f>IFERROR(IF(E6="","",D6/E6),"")</f>
        <v>150</v>
      </c>
      <c r="G6" s="125">
        <f>IF(B6="","",B6/1000)</f>
        <v>300</v>
      </c>
      <c r="H6" s="71"/>
      <c r="I6" s="71"/>
      <c r="J6" s="71"/>
      <c r="K6" s="71"/>
      <c r="L6" s="71"/>
    </row>
    <row r="7" spans="2:12"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2:12"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9" spans="2:12">
      <c r="B9" s="80" t="s">
        <v>109</v>
      </c>
      <c r="C9" s="126">
        <v>750</v>
      </c>
      <c r="D9" s="126">
        <v>750</v>
      </c>
      <c r="E9" s="126">
        <v>750</v>
      </c>
      <c r="F9" s="126">
        <v>750</v>
      </c>
      <c r="G9" s="126">
        <v>750</v>
      </c>
      <c r="H9" s="125">
        <f>SUM(C9:G9)</f>
        <v>3750</v>
      </c>
      <c r="I9" s="71"/>
      <c r="J9" s="71"/>
      <c r="K9" s="71"/>
      <c r="L9" s="71"/>
    </row>
    <row r="10" spans="2:12">
      <c r="B10" s="79"/>
      <c r="C10" s="77" t="s">
        <v>112</v>
      </c>
      <c r="D10" s="77" t="s">
        <v>113</v>
      </c>
      <c r="E10" s="77" t="s">
        <v>114</v>
      </c>
      <c r="F10" s="77" t="s">
        <v>115</v>
      </c>
      <c r="G10" s="77" t="s">
        <v>116</v>
      </c>
      <c r="H10" s="77"/>
      <c r="I10" s="77"/>
      <c r="J10" s="68"/>
      <c r="K10" s="68"/>
      <c r="L10" s="68"/>
    </row>
    <row r="11" spans="2:12">
      <c r="B11" s="81" t="s">
        <v>117</v>
      </c>
      <c r="C11" s="78">
        <v>2</v>
      </c>
      <c r="D11" s="78">
        <v>2</v>
      </c>
      <c r="E11" s="78">
        <v>2</v>
      </c>
      <c r="F11" s="78">
        <v>2</v>
      </c>
      <c r="G11" s="78">
        <v>2</v>
      </c>
      <c r="H11" s="78">
        <f>SUM(C11:G11)</f>
        <v>10</v>
      </c>
      <c r="I11" s="78"/>
      <c r="J11" s="72"/>
      <c r="K11" s="72"/>
      <c r="L11" s="72"/>
    </row>
    <row r="12" spans="2:12">
      <c r="B12" s="81" t="s">
        <v>118</v>
      </c>
      <c r="C12" s="123">
        <f>IF(C11="","",C9/C11)</f>
        <v>375</v>
      </c>
      <c r="D12" s="123">
        <f>IF(D11="","",D9/D11)</f>
        <v>375</v>
      </c>
      <c r="E12" s="123">
        <f t="shared" ref="E12:G12" si="0">IF(E11="","",E9/E11)</f>
        <v>375</v>
      </c>
      <c r="F12" s="123">
        <f t="shared" si="0"/>
        <v>375</v>
      </c>
      <c r="G12" s="123">
        <f t="shared" si="0"/>
        <v>375</v>
      </c>
      <c r="H12" s="123">
        <f>SUM(C12:G12)</f>
        <v>1875</v>
      </c>
      <c r="I12" s="77"/>
      <c r="J12" s="68"/>
      <c r="K12" s="68"/>
      <c r="L12" s="68"/>
    </row>
    <row r="13" spans="2:12">
      <c r="B13" s="81" t="s">
        <v>119</v>
      </c>
      <c r="C13" s="122">
        <v>2.5</v>
      </c>
      <c r="D13" s="122">
        <v>5</v>
      </c>
      <c r="E13" s="122">
        <v>1</v>
      </c>
      <c r="F13" s="122">
        <v>2.5</v>
      </c>
      <c r="G13" s="122">
        <v>5</v>
      </c>
      <c r="H13" s="123">
        <f>IFERROR(SUM(C13:G13)/E6,"")</f>
        <v>3.2</v>
      </c>
      <c r="I13" s="85" t="s">
        <v>120</v>
      </c>
      <c r="J13" s="84"/>
      <c r="K13" s="68"/>
      <c r="L13" s="68"/>
    </row>
    <row r="14" spans="2:12">
      <c r="B14" s="81" t="s">
        <v>121</v>
      </c>
      <c r="C14" s="82">
        <f>IFERROR(IF(C13="","",C12/C13),"")</f>
        <v>150</v>
      </c>
      <c r="D14" s="82">
        <f t="shared" ref="D14:G14" si="1">IFERROR(IF(D13="","",D12/D13),"")</f>
        <v>75</v>
      </c>
      <c r="E14" s="82">
        <f t="shared" si="1"/>
        <v>375</v>
      </c>
      <c r="F14" s="82">
        <f t="shared" si="1"/>
        <v>150</v>
      </c>
      <c r="G14" s="82">
        <f t="shared" si="1"/>
        <v>75</v>
      </c>
      <c r="H14" s="77"/>
      <c r="I14" s="77"/>
      <c r="J14" s="68"/>
      <c r="K14" s="68"/>
      <c r="L14" s="68"/>
    </row>
    <row r="15" spans="2:12">
      <c r="B15" s="81" t="s">
        <v>122</v>
      </c>
      <c r="C15" s="83">
        <v>2</v>
      </c>
      <c r="D15" s="83">
        <v>3</v>
      </c>
      <c r="E15" s="83">
        <v>2</v>
      </c>
      <c r="F15" s="83">
        <v>4</v>
      </c>
      <c r="G15" s="83">
        <v>1</v>
      </c>
      <c r="H15" s="83">
        <f>SUM(C15:G15)</f>
        <v>12</v>
      </c>
      <c r="I15" s="74"/>
      <c r="J15" s="71"/>
      <c r="K15" s="71"/>
      <c r="L15" s="71"/>
    </row>
    <row r="16" spans="2:12">
      <c r="B16" s="75" t="s">
        <v>123</v>
      </c>
      <c r="C16" s="124">
        <f>IF(C15="","",C15*C12)</f>
        <v>750</v>
      </c>
      <c r="D16" s="124">
        <f>IF(D15="","",D15*D12)</f>
        <v>1125</v>
      </c>
      <c r="E16" s="124">
        <f t="shared" ref="E16:G16" si="2">IF(E15="","",E15*E12)</f>
        <v>750</v>
      </c>
      <c r="F16" s="124">
        <f t="shared" si="2"/>
        <v>1500</v>
      </c>
      <c r="G16" s="124">
        <f t="shared" si="2"/>
        <v>375</v>
      </c>
      <c r="H16" s="124">
        <f>SUM(C16:G16)</f>
        <v>4500</v>
      </c>
      <c r="I16" s="70"/>
      <c r="J16" s="70"/>
      <c r="K16" s="70"/>
      <c r="L16" s="70"/>
    </row>
    <row r="17" spans="2:12">
      <c r="B17" s="75" t="s">
        <v>27</v>
      </c>
      <c r="C17" s="124">
        <f>C9</f>
        <v>750</v>
      </c>
      <c r="D17" s="124">
        <f t="shared" ref="D17:G17" si="3">D9</f>
        <v>750</v>
      </c>
      <c r="E17" s="124">
        <f t="shared" si="3"/>
        <v>750</v>
      </c>
      <c r="F17" s="124">
        <f t="shared" si="3"/>
        <v>750</v>
      </c>
      <c r="G17" s="124">
        <f t="shared" si="3"/>
        <v>750</v>
      </c>
      <c r="H17" s="124">
        <f t="shared" ref="H17:H18" si="4">SUM(C17:G17)</f>
        <v>3750</v>
      </c>
      <c r="I17" s="70"/>
      <c r="J17" s="70"/>
      <c r="K17" s="70"/>
      <c r="L17" s="70"/>
    </row>
    <row r="18" spans="2:12">
      <c r="B18" s="75" t="s">
        <v>124</v>
      </c>
      <c r="C18" s="124">
        <f>C17/2</f>
        <v>375</v>
      </c>
      <c r="D18" s="124">
        <f t="shared" ref="D18:G18" si="5">D17/2</f>
        <v>375</v>
      </c>
      <c r="E18" s="124">
        <f t="shared" si="5"/>
        <v>375</v>
      </c>
      <c r="F18" s="124">
        <f t="shared" si="5"/>
        <v>375</v>
      </c>
      <c r="G18" s="124">
        <f t="shared" si="5"/>
        <v>375</v>
      </c>
      <c r="H18" s="124">
        <f t="shared" si="4"/>
        <v>1875</v>
      </c>
      <c r="I18" s="70"/>
      <c r="J18" s="70"/>
      <c r="K18" s="70"/>
      <c r="L18" s="70"/>
    </row>
    <row r="19" spans="2:12">
      <c r="B19" s="71" t="s">
        <v>71</v>
      </c>
      <c r="C19" s="125">
        <v>84</v>
      </c>
      <c r="D19" s="125">
        <v>50</v>
      </c>
      <c r="E19" s="125">
        <v>105</v>
      </c>
      <c r="F19" s="125">
        <v>180</v>
      </c>
      <c r="G19" s="125">
        <v>-40</v>
      </c>
      <c r="H19" s="125">
        <f>SUM(C19:G19)</f>
        <v>379</v>
      </c>
      <c r="I19" s="71"/>
      <c r="J19" s="71"/>
      <c r="K19" s="71"/>
      <c r="L19" s="71"/>
    </row>
    <row r="20" spans="2:12">
      <c r="B20" s="73"/>
    </row>
    <row r="21" spans="2:12">
      <c r="B21" s="73"/>
    </row>
  </sheetData>
  <mergeCells count="1">
    <mergeCell ref="B3:C3"/>
  </mergeCells>
  <conditionalFormatting sqref="C16:G16">
    <cfRule type="cellIs" dxfId="4" priority="2" operator="greaterThan">
      <formula>$F$6</formula>
    </cfRule>
  </conditionalFormatting>
  <conditionalFormatting sqref="H9">
    <cfRule type="cellIs" dxfId="3" priority="11" operator="greaterThan">
      <formula>$D$6</formula>
    </cfRule>
  </conditionalFormatting>
  <conditionalFormatting sqref="H15">
    <cfRule type="cellIs" dxfId="2" priority="1" operator="greaterThan">
      <formula>$H$11</formula>
    </cfRule>
  </conditionalFormatting>
  <conditionalFormatting sqref="H16">
    <cfRule type="cellIs" dxfId="1" priority="8" operator="greaterThan">
      <formula>$D$6</formula>
    </cfRule>
  </conditionalFormatting>
  <conditionalFormatting sqref="H19">
    <cfRule type="cellIs" dxfId="0" priority="5" operator="greaterThan">
      <formula>$H$18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30"/>
  <sheetViews>
    <sheetView workbookViewId="0">
      <pane ySplit="4" topLeftCell="A355" activePane="bottomLeft" state="frozen"/>
      <selection pane="bottomLeft" activeCell="J424" sqref="J424"/>
    </sheetView>
  </sheetViews>
  <sheetFormatPr defaultColWidth="9.140625" defaultRowHeight="31.5"/>
  <cols>
    <col min="1" max="1" width="17.140625" style="12" bestFit="1" customWidth="1"/>
    <col min="2" max="2" width="24.85546875" style="8" bestFit="1" customWidth="1"/>
    <col min="3" max="3" width="27.42578125" style="10" bestFit="1" customWidth="1"/>
    <col min="4" max="4" width="28.7109375" style="12" bestFit="1" customWidth="1"/>
    <col min="5" max="5" width="28.42578125" style="8" bestFit="1" customWidth="1"/>
    <col min="6" max="6" width="14.28515625" style="14" bestFit="1" customWidth="1"/>
    <col min="7" max="7" width="9.140625" style="8"/>
    <col min="8" max="8" width="20.28515625" style="8" bestFit="1" customWidth="1"/>
    <col min="9" max="9" width="24.42578125" style="12" bestFit="1" customWidth="1"/>
    <col min="10" max="10" width="25.42578125" style="12" bestFit="1" customWidth="1"/>
    <col min="11" max="11" width="27.85546875" style="8" bestFit="1" customWidth="1"/>
    <col min="12" max="12" width="5.28515625" style="8" customWidth="1"/>
    <col min="13" max="13" width="16.5703125" style="8" bestFit="1" customWidth="1"/>
    <col min="14" max="16384" width="9.140625" style="8"/>
  </cols>
  <sheetData>
    <row r="1" spans="1:13" ht="32.25" thickBot="1">
      <c r="A1" s="5"/>
      <c r="B1" s="6" t="s">
        <v>125</v>
      </c>
      <c r="C1" s="6"/>
      <c r="D1" s="86"/>
      <c r="E1" s="162" t="s">
        <v>126</v>
      </c>
      <c r="F1" s="163"/>
      <c r="G1" s="164"/>
      <c r="H1" s="165">
        <v>5000</v>
      </c>
      <c r="I1" s="166"/>
      <c r="J1" s="5"/>
      <c r="K1" s="6"/>
      <c r="L1" s="6"/>
      <c r="M1" s="6"/>
    </row>
    <row r="2" spans="1:13">
      <c r="A2" s="9"/>
      <c r="B2" s="10" t="s">
        <v>127</v>
      </c>
      <c r="C2" s="10" t="s">
        <v>128</v>
      </c>
      <c r="D2" s="9" t="s">
        <v>129</v>
      </c>
      <c r="E2" s="30" t="s">
        <v>130</v>
      </c>
      <c r="F2" s="6" t="s">
        <v>131</v>
      </c>
      <c r="G2" s="6"/>
      <c r="H2" s="8" t="s">
        <v>132</v>
      </c>
      <c r="I2" s="11">
        <v>15</v>
      </c>
      <c r="J2" s="8" t="s">
        <v>133</v>
      </c>
      <c r="K2" s="8" t="s">
        <v>134</v>
      </c>
      <c r="L2" s="6"/>
    </row>
    <row r="3" spans="1:13" ht="32.25" thickBot="1">
      <c r="A3" s="5"/>
      <c r="B3" s="117">
        <f>C3/5</f>
        <v>145.83333333333331</v>
      </c>
      <c r="C3" s="120">
        <f>E3/48</f>
        <v>729.16666666666663</v>
      </c>
      <c r="D3" s="117">
        <f>E3/12</f>
        <v>2916.6666666666665</v>
      </c>
      <c r="E3" s="121">
        <v>35000</v>
      </c>
      <c r="F3" s="7" t="s">
        <v>135</v>
      </c>
      <c r="G3" s="6"/>
      <c r="H3" s="6" t="s">
        <v>136</v>
      </c>
      <c r="I3" s="5" t="s">
        <v>137</v>
      </c>
      <c r="J3" s="5" t="s">
        <v>8</v>
      </c>
      <c r="K3" s="6" t="s">
        <v>138</v>
      </c>
      <c r="L3" s="6"/>
      <c r="M3" s="6" t="s">
        <v>139</v>
      </c>
    </row>
    <row r="4" spans="1:13">
      <c r="A4" s="5" t="s">
        <v>140</v>
      </c>
      <c r="B4" s="6" t="s">
        <v>134</v>
      </c>
      <c r="C4" s="6" t="s">
        <v>134</v>
      </c>
      <c r="D4" s="5" t="s">
        <v>134</v>
      </c>
      <c r="E4" s="6" t="s">
        <v>134</v>
      </c>
      <c r="F4" s="7" t="s">
        <v>13</v>
      </c>
      <c r="G4" s="6"/>
      <c r="H4" s="6"/>
      <c r="I4" s="5"/>
      <c r="J4" s="5"/>
      <c r="K4" s="6"/>
      <c r="L4" s="6"/>
      <c r="M4" s="6" t="s">
        <v>141</v>
      </c>
    </row>
    <row r="5" spans="1:13">
      <c r="A5" s="115">
        <v>0.1</v>
      </c>
      <c r="B5" s="11">
        <f>$B$3/A5</f>
        <v>1458.333333333333</v>
      </c>
      <c r="C5" s="13">
        <f>B5*5</f>
        <v>7291.6666666666652</v>
      </c>
      <c r="D5" s="11">
        <f>E5/12</f>
        <v>29166.666666666661</v>
      </c>
      <c r="E5" s="11">
        <f>C5*48</f>
        <v>349999.99999999994</v>
      </c>
      <c r="F5" s="14">
        <f t="shared" ref="F5:F61" si="0">B5/$I$2</f>
        <v>97.2222222222222</v>
      </c>
      <c r="G5" s="6"/>
      <c r="H5" s="115">
        <f t="shared" ref="H5:H61" si="1">A5*$I$2</f>
        <v>1.5</v>
      </c>
      <c r="I5" s="115">
        <f>H5*5</f>
        <v>7.5</v>
      </c>
      <c r="J5" s="115">
        <f>H5*365/12</f>
        <v>45.625</v>
      </c>
      <c r="K5" s="115">
        <f>I5*48</f>
        <v>360</v>
      </c>
      <c r="L5" s="6"/>
      <c r="M5" s="11">
        <f>$H$1/H5</f>
        <v>3333.3333333333335</v>
      </c>
    </row>
    <row r="6" spans="1:13">
      <c r="A6" s="115">
        <f>A5+0.1</f>
        <v>0.2</v>
      </c>
      <c r="B6" s="11">
        <f>$B$3/A6</f>
        <v>729.16666666666652</v>
      </c>
      <c r="C6" s="13">
        <f t="shared" ref="C6:C61" si="2">B6*5</f>
        <v>3645.8333333333326</v>
      </c>
      <c r="D6" s="11">
        <f t="shared" ref="D6:D61" si="3">E6/12</f>
        <v>14583.33333333333</v>
      </c>
      <c r="E6" s="11">
        <f t="shared" ref="E6:E61" si="4">C6*48</f>
        <v>174999.99999999997</v>
      </c>
      <c r="F6" s="14">
        <f t="shared" si="0"/>
        <v>48.6111111111111</v>
      </c>
      <c r="G6" s="6"/>
      <c r="H6" s="115">
        <f t="shared" si="1"/>
        <v>3</v>
      </c>
      <c r="I6" s="115">
        <f t="shared" ref="I6:I61" si="5">H6*5</f>
        <v>15</v>
      </c>
      <c r="J6" s="115">
        <f t="shared" ref="J6:J61" si="6">H6*365/12</f>
        <v>91.25</v>
      </c>
      <c r="K6" s="115">
        <f t="shared" ref="K6:K61" si="7">I6*48</f>
        <v>720</v>
      </c>
      <c r="L6" s="6"/>
      <c r="M6" s="11">
        <f t="shared" ref="M6:M61" si="8">$H$1/H6</f>
        <v>1666.6666666666667</v>
      </c>
    </row>
    <row r="7" spans="1:13">
      <c r="A7" s="115">
        <f t="shared" ref="A7:A61" si="9">A6+0.1</f>
        <v>0.30000000000000004</v>
      </c>
      <c r="B7" s="11">
        <f t="shared" ref="B7:B61" si="10">$B$3/A7</f>
        <v>486.11111111111097</v>
      </c>
      <c r="C7" s="13">
        <f t="shared" si="2"/>
        <v>2430.5555555555547</v>
      </c>
      <c r="D7" s="11">
        <f t="shared" si="3"/>
        <v>9722.222222222219</v>
      </c>
      <c r="E7" s="11">
        <f t="shared" si="4"/>
        <v>116666.66666666663</v>
      </c>
      <c r="F7" s="14">
        <f t="shared" si="0"/>
        <v>32.407407407407398</v>
      </c>
      <c r="G7" s="6"/>
      <c r="H7" s="115">
        <f t="shared" si="1"/>
        <v>4.5000000000000009</v>
      </c>
      <c r="I7" s="115">
        <f t="shared" si="5"/>
        <v>22.500000000000004</v>
      </c>
      <c r="J7" s="115">
        <f t="shared" si="6"/>
        <v>136.87500000000003</v>
      </c>
      <c r="K7" s="115">
        <f t="shared" si="7"/>
        <v>1080.0000000000002</v>
      </c>
      <c r="L7" s="6"/>
      <c r="M7" s="11">
        <f t="shared" si="8"/>
        <v>1111.1111111111109</v>
      </c>
    </row>
    <row r="8" spans="1:13">
      <c r="A8" s="115">
        <f t="shared" si="9"/>
        <v>0.4</v>
      </c>
      <c r="B8" s="11">
        <f t="shared" si="10"/>
        <v>364.58333333333326</v>
      </c>
      <c r="C8" s="13">
        <f t="shared" si="2"/>
        <v>1822.9166666666663</v>
      </c>
      <c r="D8" s="11">
        <f t="shared" si="3"/>
        <v>7291.6666666666652</v>
      </c>
      <c r="E8" s="11">
        <f t="shared" si="4"/>
        <v>87499.999999999985</v>
      </c>
      <c r="F8" s="14">
        <f t="shared" si="0"/>
        <v>24.30555555555555</v>
      </c>
      <c r="G8" s="6"/>
      <c r="H8" s="115">
        <f t="shared" si="1"/>
        <v>6</v>
      </c>
      <c r="I8" s="115">
        <f t="shared" si="5"/>
        <v>30</v>
      </c>
      <c r="J8" s="115">
        <f t="shared" si="6"/>
        <v>182.5</v>
      </c>
      <c r="K8" s="115">
        <f t="shared" si="7"/>
        <v>1440</v>
      </c>
      <c r="L8" s="6"/>
      <c r="M8" s="11">
        <f t="shared" si="8"/>
        <v>833.33333333333337</v>
      </c>
    </row>
    <row r="9" spans="1:13">
      <c r="A9" s="115">
        <f t="shared" si="9"/>
        <v>0.5</v>
      </c>
      <c r="B9" s="11">
        <f t="shared" si="10"/>
        <v>291.66666666666663</v>
      </c>
      <c r="C9" s="13">
        <f t="shared" si="2"/>
        <v>1458.333333333333</v>
      </c>
      <c r="D9" s="11">
        <f t="shared" si="3"/>
        <v>5833.3333333333321</v>
      </c>
      <c r="E9" s="11">
        <f t="shared" si="4"/>
        <v>69999.999999999985</v>
      </c>
      <c r="F9" s="14">
        <f t="shared" si="0"/>
        <v>19.444444444444443</v>
      </c>
      <c r="G9" s="6"/>
      <c r="H9" s="115">
        <f t="shared" si="1"/>
        <v>7.5</v>
      </c>
      <c r="I9" s="115">
        <f t="shared" si="5"/>
        <v>37.5</v>
      </c>
      <c r="J9" s="115">
        <f t="shared" si="6"/>
        <v>228.125</v>
      </c>
      <c r="K9" s="115">
        <f t="shared" si="7"/>
        <v>1800</v>
      </c>
      <c r="L9" s="6"/>
      <c r="M9" s="11">
        <f t="shared" si="8"/>
        <v>666.66666666666663</v>
      </c>
    </row>
    <row r="10" spans="1:13">
      <c r="A10" s="115">
        <f t="shared" si="9"/>
        <v>0.6</v>
      </c>
      <c r="B10" s="11">
        <f t="shared" si="10"/>
        <v>243.05555555555554</v>
      </c>
      <c r="C10" s="13">
        <f t="shared" si="2"/>
        <v>1215.2777777777778</v>
      </c>
      <c r="D10" s="11">
        <f t="shared" si="3"/>
        <v>4861.1111111111113</v>
      </c>
      <c r="E10" s="11">
        <f t="shared" si="4"/>
        <v>58333.333333333336</v>
      </c>
      <c r="F10" s="14">
        <f t="shared" si="0"/>
        <v>16.203703703703702</v>
      </c>
      <c r="G10" s="6"/>
      <c r="H10" s="115">
        <f t="shared" si="1"/>
        <v>9</v>
      </c>
      <c r="I10" s="115">
        <f t="shared" si="5"/>
        <v>45</v>
      </c>
      <c r="J10" s="115">
        <f t="shared" si="6"/>
        <v>273.75</v>
      </c>
      <c r="K10" s="115">
        <f t="shared" si="7"/>
        <v>2160</v>
      </c>
      <c r="L10" s="6"/>
      <c r="M10" s="11">
        <f t="shared" si="8"/>
        <v>555.55555555555554</v>
      </c>
    </row>
    <row r="11" spans="1:13">
      <c r="A11" s="115">
        <f t="shared" si="9"/>
        <v>0.7</v>
      </c>
      <c r="B11" s="11">
        <f t="shared" si="10"/>
        <v>208.33333333333331</v>
      </c>
      <c r="C11" s="13">
        <f t="shared" si="2"/>
        <v>1041.6666666666665</v>
      </c>
      <c r="D11" s="11">
        <f t="shared" si="3"/>
        <v>4166.6666666666661</v>
      </c>
      <c r="E11" s="11">
        <f t="shared" si="4"/>
        <v>49999.999999999993</v>
      </c>
      <c r="F11" s="14">
        <f t="shared" si="0"/>
        <v>13.888888888888888</v>
      </c>
      <c r="G11" s="6"/>
      <c r="H11" s="115">
        <f t="shared" si="1"/>
        <v>10.5</v>
      </c>
      <c r="I11" s="115">
        <f t="shared" si="5"/>
        <v>52.5</v>
      </c>
      <c r="J11" s="115">
        <f t="shared" si="6"/>
        <v>319.375</v>
      </c>
      <c r="K11" s="115">
        <f t="shared" si="7"/>
        <v>2520</v>
      </c>
      <c r="L11" s="6"/>
      <c r="M11" s="11">
        <f t="shared" si="8"/>
        <v>476.1904761904762</v>
      </c>
    </row>
    <row r="12" spans="1:13">
      <c r="A12" s="115">
        <f t="shared" si="9"/>
        <v>0.79999999999999993</v>
      </c>
      <c r="B12" s="11">
        <f t="shared" si="10"/>
        <v>182.29166666666666</v>
      </c>
      <c r="C12" s="13">
        <f t="shared" si="2"/>
        <v>911.45833333333326</v>
      </c>
      <c r="D12" s="11">
        <f t="shared" si="3"/>
        <v>3645.8333333333335</v>
      </c>
      <c r="E12" s="11">
        <f t="shared" si="4"/>
        <v>43750</v>
      </c>
      <c r="F12" s="14">
        <f t="shared" si="0"/>
        <v>12.152777777777777</v>
      </c>
      <c r="G12" s="6"/>
      <c r="H12" s="115">
        <f t="shared" si="1"/>
        <v>11.999999999999998</v>
      </c>
      <c r="I12" s="115">
        <f t="shared" si="5"/>
        <v>59.999999999999993</v>
      </c>
      <c r="J12" s="115">
        <f t="shared" si="6"/>
        <v>364.99999999999994</v>
      </c>
      <c r="K12" s="115">
        <f t="shared" si="7"/>
        <v>2879.9999999999995</v>
      </c>
      <c r="L12" s="6"/>
      <c r="M12" s="11">
        <f t="shared" si="8"/>
        <v>416.66666666666674</v>
      </c>
    </row>
    <row r="13" spans="1:13">
      <c r="A13" s="115">
        <f t="shared" si="9"/>
        <v>0.89999999999999991</v>
      </c>
      <c r="B13" s="11">
        <f t="shared" si="10"/>
        <v>162.03703703703704</v>
      </c>
      <c r="C13" s="13">
        <f t="shared" si="2"/>
        <v>810.18518518518522</v>
      </c>
      <c r="D13" s="11">
        <f t="shared" si="3"/>
        <v>3240.7407407407409</v>
      </c>
      <c r="E13" s="11">
        <f t="shared" si="4"/>
        <v>38888.888888888891</v>
      </c>
      <c r="F13" s="14">
        <f t="shared" si="0"/>
        <v>10.80246913580247</v>
      </c>
      <c r="G13" s="6"/>
      <c r="H13" s="115">
        <f t="shared" si="1"/>
        <v>13.499999999999998</v>
      </c>
      <c r="I13" s="115">
        <f t="shared" si="5"/>
        <v>67.499999999999986</v>
      </c>
      <c r="J13" s="115">
        <f t="shared" si="6"/>
        <v>410.62499999999994</v>
      </c>
      <c r="K13" s="115">
        <f t="shared" si="7"/>
        <v>3239.9999999999991</v>
      </c>
      <c r="L13" s="6"/>
      <c r="M13" s="11">
        <f t="shared" si="8"/>
        <v>370.37037037037044</v>
      </c>
    </row>
    <row r="14" spans="1:13">
      <c r="A14" s="115">
        <f t="shared" si="9"/>
        <v>0.99999999999999989</v>
      </c>
      <c r="B14" s="11">
        <f t="shared" si="10"/>
        <v>145.83333333333334</v>
      </c>
      <c r="C14" s="13">
        <f t="shared" si="2"/>
        <v>729.16666666666674</v>
      </c>
      <c r="D14" s="11">
        <f t="shared" si="3"/>
        <v>2916.6666666666665</v>
      </c>
      <c r="E14" s="11">
        <f t="shared" si="4"/>
        <v>35000</v>
      </c>
      <c r="F14" s="14">
        <f t="shared" si="0"/>
        <v>9.7222222222222232</v>
      </c>
      <c r="G14" s="6"/>
      <c r="H14" s="115">
        <f t="shared" si="1"/>
        <v>14.999999999999998</v>
      </c>
      <c r="I14" s="115">
        <f t="shared" si="5"/>
        <v>74.999999999999986</v>
      </c>
      <c r="J14" s="115">
        <f t="shared" si="6"/>
        <v>456.24999999999994</v>
      </c>
      <c r="K14" s="115">
        <f t="shared" si="7"/>
        <v>3599.9999999999991</v>
      </c>
      <c r="L14" s="6"/>
      <c r="M14" s="11">
        <f t="shared" si="8"/>
        <v>333.33333333333337</v>
      </c>
    </row>
    <row r="15" spans="1:13">
      <c r="A15" s="115">
        <f t="shared" si="9"/>
        <v>1.0999999999999999</v>
      </c>
      <c r="B15" s="11">
        <f t="shared" si="10"/>
        <v>132.57575757575756</v>
      </c>
      <c r="C15" s="13">
        <f t="shared" si="2"/>
        <v>662.87878787878776</v>
      </c>
      <c r="D15" s="11">
        <f t="shared" si="3"/>
        <v>2651.515151515151</v>
      </c>
      <c r="E15" s="11">
        <f t="shared" si="4"/>
        <v>31818.181818181813</v>
      </c>
      <c r="F15" s="14">
        <f t="shared" si="0"/>
        <v>8.8383838383838373</v>
      </c>
      <c r="G15" s="6"/>
      <c r="H15" s="115">
        <f t="shared" si="1"/>
        <v>16.499999999999996</v>
      </c>
      <c r="I15" s="115">
        <f t="shared" si="5"/>
        <v>82.499999999999986</v>
      </c>
      <c r="J15" s="115">
        <f t="shared" si="6"/>
        <v>501.87499999999994</v>
      </c>
      <c r="K15" s="115">
        <f t="shared" si="7"/>
        <v>3959.9999999999991</v>
      </c>
      <c r="L15" s="6"/>
      <c r="M15" s="11">
        <f t="shared" si="8"/>
        <v>303.03030303030312</v>
      </c>
    </row>
    <row r="16" spans="1:13">
      <c r="A16" s="115">
        <f t="shared" si="9"/>
        <v>1.2</v>
      </c>
      <c r="B16" s="11">
        <f t="shared" si="10"/>
        <v>121.52777777777777</v>
      </c>
      <c r="C16" s="13">
        <f t="shared" si="2"/>
        <v>607.63888888888891</v>
      </c>
      <c r="D16" s="11">
        <f t="shared" si="3"/>
        <v>2430.5555555555557</v>
      </c>
      <c r="E16" s="11">
        <f t="shared" si="4"/>
        <v>29166.666666666668</v>
      </c>
      <c r="F16" s="14">
        <f t="shared" si="0"/>
        <v>8.1018518518518512</v>
      </c>
      <c r="G16" s="6"/>
      <c r="H16" s="115">
        <f t="shared" si="1"/>
        <v>18</v>
      </c>
      <c r="I16" s="115">
        <f t="shared" si="5"/>
        <v>90</v>
      </c>
      <c r="J16" s="115">
        <f t="shared" si="6"/>
        <v>547.5</v>
      </c>
      <c r="K16" s="115">
        <f t="shared" si="7"/>
        <v>4320</v>
      </c>
      <c r="L16" s="6"/>
      <c r="M16" s="11">
        <f t="shared" si="8"/>
        <v>277.77777777777777</v>
      </c>
    </row>
    <row r="17" spans="1:13">
      <c r="A17" s="115">
        <f t="shared" si="9"/>
        <v>1.3</v>
      </c>
      <c r="B17" s="11">
        <f t="shared" si="10"/>
        <v>112.17948717948715</v>
      </c>
      <c r="C17" s="13">
        <f t="shared" si="2"/>
        <v>560.8974358974358</v>
      </c>
      <c r="D17" s="11">
        <f t="shared" si="3"/>
        <v>2243.5897435897432</v>
      </c>
      <c r="E17" s="11">
        <f t="shared" si="4"/>
        <v>26923.076923076918</v>
      </c>
      <c r="F17" s="14">
        <f t="shared" si="0"/>
        <v>7.4786324786324769</v>
      </c>
      <c r="G17" s="6"/>
      <c r="H17" s="115">
        <f t="shared" si="1"/>
        <v>19.5</v>
      </c>
      <c r="I17" s="115">
        <f t="shared" si="5"/>
        <v>97.5</v>
      </c>
      <c r="J17" s="115">
        <f t="shared" si="6"/>
        <v>593.125</v>
      </c>
      <c r="K17" s="115">
        <f t="shared" si="7"/>
        <v>4680</v>
      </c>
      <c r="L17" s="6"/>
      <c r="M17" s="11">
        <f t="shared" si="8"/>
        <v>256.41025641025641</v>
      </c>
    </row>
    <row r="18" spans="1:13">
      <c r="A18" s="115">
        <f t="shared" si="9"/>
        <v>1.4000000000000001</v>
      </c>
      <c r="B18" s="11">
        <f t="shared" si="10"/>
        <v>104.16666666666664</v>
      </c>
      <c r="C18" s="13">
        <f t="shared" si="2"/>
        <v>520.83333333333326</v>
      </c>
      <c r="D18" s="11">
        <f t="shared" si="3"/>
        <v>2083.333333333333</v>
      </c>
      <c r="E18" s="11">
        <f t="shared" si="4"/>
        <v>24999.999999999996</v>
      </c>
      <c r="F18" s="14">
        <f t="shared" si="0"/>
        <v>6.9444444444444429</v>
      </c>
      <c r="G18" s="6"/>
      <c r="H18" s="115">
        <f t="shared" si="1"/>
        <v>21.000000000000004</v>
      </c>
      <c r="I18" s="115">
        <f t="shared" si="5"/>
        <v>105.00000000000001</v>
      </c>
      <c r="J18" s="115">
        <f t="shared" si="6"/>
        <v>638.75000000000011</v>
      </c>
      <c r="K18" s="115">
        <f t="shared" si="7"/>
        <v>5040.0000000000009</v>
      </c>
      <c r="L18" s="6"/>
      <c r="M18" s="11">
        <f t="shared" si="8"/>
        <v>238.09523809523805</v>
      </c>
    </row>
    <row r="19" spans="1:13">
      <c r="A19" s="115">
        <f t="shared" si="9"/>
        <v>1.5000000000000002</v>
      </c>
      <c r="B19" s="11">
        <f t="shared" si="10"/>
        <v>97.2222222222222</v>
      </c>
      <c r="C19" s="13">
        <f t="shared" si="2"/>
        <v>486.11111111111097</v>
      </c>
      <c r="D19" s="11">
        <f t="shared" si="3"/>
        <v>1944.4444444444441</v>
      </c>
      <c r="E19" s="11">
        <f t="shared" si="4"/>
        <v>23333.333333333328</v>
      </c>
      <c r="F19" s="14">
        <f t="shared" si="0"/>
        <v>6.4814814814814801</v>
      </c>
      <c r="G19" s="6"/>
      <c r="H19" s="115">
        <f t="shared" si="1"/>
        <v>22.500000000000004</v>
      </c>
      <c r="I19" s="115">
        <f t="shared" si="5"/>
        <v>112.50000000000001</v>
      </c>
      <c r="J19" s="115">
        <f t="shared" si="6"/>
        <v>684.37500000000011</v>
      </c>
      <c r="K19" s="115">
        <f t="shared" si="7"/>
        <v>5400.0000000000009</v>
      </c>
      <c r="L19" s="6"/>
      <c r="M19" s="11">
        <f t="shared" si="8"/>
        <v>222.2222222222222</v>
      </c>
    </row>
    <row r="20" spans="1:13">
      <c r="A20" s="115">
        <f t="shared" si="9"/>
        <v>1.6000000000000003</v>
      </c>
      <c r="B20" s="11">
        <f t="shared" si="10"/>
        <v>91.1458333333333</v>
      </c>
      <c r="C20" s="13">
        <f t="shared" si="2"/>
        <v>455.72916666666652</v>
      </c>
      <c r="D20" s="11">
        <f t="shared" si="3"/>
        <v>1822.9166666666661</v>
      </c>
      <c r="E20" s="11">
        <f t="shared" si="4"/>
        <v>21874.999999999993</v>
      </c>
      <c r="F20" s="14">
        <f t="shared" si="0"/>
        <v>6.0763888888888866</v>
      </c>
      <c r="G20" s="6"/>
      <c r="H20" s="115">
        <f t="shared" si="1"/>
        <v>24.000000000000004</v>
      </c>
      <c r="I20" s="115">
        <f t="shared" si="5"/>
        <v>120.00000000000001</v>
      </c>
      <c r="J20" s="115">
        <f t="shared" si="6"/>
        <v>730.00000000000011</v>
      </c>
      <c r="K20" s="115">
        <f t="shared" si="7"/>
        <v>5760.0000000000009</v>
      </c>
      <c r="L20" s="6"/>
      <c r="M20" s="11">
        <f t="shared" si="8"/>
        <v>208.33333333333331</v>
      </c>
    </row>
    <row r="21" spans="1:13">
      <c r="A21" s="115">
        <f t="shared" si="9"/>
        <v>1.7000000000000004</v>
      </c>
      <c r="B21" s="11">
        <f t="shared" si="10"/>
        <v>85.784313725490165</v>
      </c>
      <c r="C21" s="13">
        <f t="shared" si="2"/>
        <v>428.92156862745082</v>
      </c>
      <c r="D21" s="11">
        <f t="shared" si="3"/>
        <v>1715.6862745098033</v>
      </c>
      <c r="E21" s="11">
        <f t="shared" si="4"/>
        <v>20588.23529411764</v>
      </c>
      <c r="F21" s="14">
        <f t="shared" si="0"/>
        <v>5.7189542483660114</v>
      </c>
      <c r="G21" s="6"/>
      <c r="H21" s="115">
        <f t="shared" si="1"/>
        <v>25.500000000000007</v>
      </c>
      <c r="I21" s="115">
        <f t="shared" si="5"/>
        <v>127.50000000000003</v>
      </c>
      <c r="J21" s="115">
        <f t="shared" si="6"/>
        <v>775.62500000000011</v>
      </c>
      <c r="K21" s="115">
        <f t="shared" si="7"/>
        <v>6120.0000000000018</v>
      </c>
      <c r="L21" s="6"/>
      <c r="M21" s="11">
        <f t="shared" si="8"/>
        <v>196.07843137254898</v>
      </c>
    </row>
    <row r="22" spans="1:13">
      <c r="A22" s="115">
        <f t="shared" si="9"/>
        <v>1.8000000000000005</v>
      </c>
      <c r="B22" s="11">
        <f t="shared" si="10"/>
        <v>81.018518518518491</v>
      </c>
      <c r="C22" s="13">
        <f t="shared" si="2"/>
        <v>405.09259259259244</v>
      </c>
      <c r="D22" s="11">
        <f t="shared" si="3"/>
        <v>1620.3703703703698</v>
      </c>
      <c r="E22" s="11">
        <f t="shared" si="4"/>
        <v>19444.444444444438</v>
      </c>
      <c r="F22" s="14">
        <f t="shared" si="0"/>
        <v>5.4012345679012324</v>
      </c>
      <c r="G22" s="6"/>
      <c r="H22" s="115">
        <f t="shared" si="1"/>
        <v>27.000000000000007</v>
      </c>
      <c r="I22" s="115">
        <f t="shared" si="5"/>
        <v>135.00000000000003</v>
      </c>
      <c r="J22" s="115">
        <f t="shared" si="6"/>
        <v>821.25000000000011</v>
      </c>
      <c r="K22" s="115">
        <f t="shared" si="7"/>
        <v>6480.0000000000018</v>
      </c>
      <c r="L22" s="6"/>
      <c r="M22" s="11">
        <f t="shared" si="8"/>
        <v>185.18518518518513</v>
      </c>
    </row>
    <row r="23" spans="1:13">
      <c r="A23" s="115">
        <f t="shared" si="9"/>
        <v>1.9000000000000006</v>
      </c>
      <c r="B23" s="11">
        <f t="shared" si="10"/>
        <v>76.754385964912245</v>
      </c>
      <c r="C23" s="13">
        <f t="shared" si="2"/>
        <v>383.7719298245612</v>
      </c>
      <c r="D23" s="11">
        <f t="shared" si="3"/>
        <v>1535.087719298245</v>
      </c>
      <c r="E23" s="11">
        <f t="shared" si="4"/>
        <v>18421.052631578939</v>
      </c>
      <c r="F23" s="14">
        <f t="shared" si="0"/>
        <v>5.1169590643274834</v>
      </c>
      <c r="G23" s="6"/>
      <c r="H23" s="115">
        <f t="shared" si="1"/>
        <v>28.500000000000007</v>
      </c>
      <c r="I23" s="115">
        <f t="shared" si="5"/>
        <v>142.50000000000003</v>
      </c>
      <c r="J23" s="115">
        <f t="shared" si="6"/>
        <v>866.87500000000011</v>
      </c>
      <c r="K23" s="115">
        <f t="shared" si="7"/>
        <v>6840.0000000000018</v>
      </c>
      <c r="L23" s="6"/>
      <c r="M23" s="11">
        <f t="shared" si="8"/>
        <v>175.43859649122803</v>
      </c>
    </row>
    <row r="24" spans="1:13">
      <c r="A24" s="115">
        <f t="shared" si="9"/>
        <v>2.0000000000000004</v>
      </c>
      <c r="B24" s="11">
        <f t="shared" si="10"/>
        <v>72.916666666666643</v>
      </c>
      <c r="C24" s="13">
        <f t="shared" si="2"/>
        <v>364.5833333333332</v>
      </c>
      <c r="D24" s="11">
        <f t="shared" si="3"/>
        <v>1458.3333333333328</v>
      </c>
      <c r="E24" s="11">
        <f t="shared" si="4"/>
        <v>17499.999999999993</v>
      </c>
      <c r="F24" s="14">
        <f t="shared" si="0"/>
        <v>4.8611111111111098</v>
      </c>
      <c r="G24" s="6"/>
      <c r="H24" s="115">
        <f t="shared" si="1"/>
        <v>30.000000000000007</v>
      </c>
      <c r="I24" s="115">
        <f t="shared" si="5"/>
        <v>150.00000000000003</v>
      </c>
      <c r="J24" s="115">
        <f t="shared" si="6"/>
        <v>912.50000000000011</v>
      </c>
      <c r="K24" s="115">
        <f t="shared" si="7"/>
        <v>7200.0000000000018</v>
      </c>
      <c r="L24" s="6"/>
      <c r="M24" s="11">
        <f t="shared" si="8"/>
        <v>166.66666666666663</v>
      </c>
    </row>
    <row r="25" spans="1:13">
      <c r="A25" s="115">
        <f t="shared" si="9"/>
        <v>2.1000000000000005</v>
      </c>
      <c r="B25" s="11">
        <f t="shared" si="10"/>
        <v>69.444444444444414</v>
      </c>
      <c r="C25" s="13">
        <f t="shared" si="2"/>
        <v>347.22222222222206</v>
      </c>
      <c r="D25" s="11">
        <f t="shared" si="3"/>
        <v>1388.888888888888</v>
      </c>
      <c r="E25" s="11">
        <f t="shared" si="4"/>
        <v>16666.666666666657</v>
      </c>
      <c r="F25" s="14">
        <f t="shared" si="0"/>
        <v>4.629629629629628</v>
      </c>
      <c r="G25" s="6"/>
      <c r="H25" s="115">
        <f t="shared" si="1"/>
        <v>31.500000000000007</v>
      </c>
      <c r="I25" s="115">
        <f t="shared" si="5"/>
        <v>157.50000000000003</v>
      </c>
      <c r="J25" s="115">
        <f t="shared" si="6"/>
        <v>958.12500000000011</v>
      </c>
      <c r="K25" s="115">
        <f t="shared" si="7"/>
        <v>7560.0000000000018</v>
      </c>
      <c r="L25" s="6"/>
      <c r="M25" s="11">
        <f t="shared" si="8"/>
        <v>158.73015873015871</v>
      </c>
    </row>
    <row r="26" spans="1:13">
      <c r="A26" s="115">
        <f t="shared" si="9"/>
        <v>2.2000000000000006</v>
      </c>
      <c r="B26" s="11">
        <f t="shared" si="10"/>
        <v>66.287878787878753</v>
      </c>
      <c r="C26" s="13">
        <f t="shared" si="2"/>
        <v>331.43939393939377</v>
      </c>
      <c r="D26" s="11">
        <f t="shared" si="3"/>
        <v>1325.7575757575751</v>
      </c>
      <c r="E26" s="11">
        <f t="shared" si="4"/>
        <v>15909.090909090901</v>
      </c>
      <c r="F26" s="14">
        <f t="shared" si="0"/>
        <v>4.4191919191919169</v>
      </c>
      <c r="G26" s="6"/>
      <c r="H26" s="115">
        <f t="shared" si="1"/>
        <v>33.000000000000007</v>
      </c>
      <c r="I26" s="115">
        <f t="shared" si="5"/>
        <v>165.00000000000003</v>
      </c>
      <c r="J26" s="115">
        <f t="shared" si="6"/>
        <v>1003.7500000000001</v>
      </c>
      <c r="K26" s="115">
        <f t="shared" si="7"/>
        <v>7920.0000000000018</v>
      </c>
      <c r="L26" s="6"/>
      <c r="M26" s="11">
        <f t="shared" si="8"/>
        <v>151.51515151515147</v>
      </c>
    </row>
    <row r="27" spans="1:13">
      <c r="A27" s="115">
        <f t="shared" si="9"/>
        <v>2.3000000000000007</v>
      </c>
      <c r="B27" s="11">
        <f t="shared" si="10"/>
        <v>63.405797101449245</v>
      </c>
      <c r="C27" s="13">
        <f t="shared" si="2"/>
        <v>317.0289855072462</v>
      </c>
      <c r="D27" s="11">
        <f t="shared" si="3"/>
        <v>1268.1159420289848</v>
      </c>
      <c r="E27" s="11">
        <f t="shared" si="4"/>
        <v>15217.391304347817</v>
      </c>
      <c r="F27" s="14">
        <f t="shared" si="0"/>
        <v>4.2270531400966167</v>
      </c>
      <c r="G27" s="6"/>
      <c r="H27" s="115">
        <f t="shared" si="1"/>
        <v>34.500000000000014</v>
      </c>
      <c r="I27" s="115">
        <f t="shared" si="5"/>
        <v>172.50000000000006</v>
      </c>
      <c r="J27" s="115">
        <f t="shared" si="6"/>
        <v>1049.3750000000005</v>
      </c>
      <c r="K27" s="115">
        <f t="shared" si="7"/>
        <v>8280.0000000000036</v>
      </c>
      <c r="L27" s="6"/>
      <c r="M27" s="11">
        <f t="shared" si="8"/>
        <v>144.92753623188401</v>
      </c>
    </row>
    <row r="28" spans="1:13">
      <c r="A28" s="115">
        <f t="shared" si="9"/>
        <v>2.4000000000000008</v>
      </c>
      <c r="B28" s="11">
        <f t="shared" si="10"/>
        <v>60.763888888888857</v>
      </c>
      <c r="C28" s="13">
        <f t="shared" si="2"/>
        <v>303.81944444444429</v>
      </c>
      <c r="D28" s="11">
        <f t="shared" si="3"/>
        <v>1215.2777777777771</v>
      </c>
      <c r="E28" s="11">
        <f t="shared" si="4"/>
        <v>14583.333333333325</v>
      </c>
      <c r="F28" s="14">
        <f t="shared" si="0"/>
        <v>4.0509259259259238</v>
      </c>
      <c r="G28" s="6"/>
      <c r="H28" s="115">
        <f t="shared" si="1"/>
        <v>36.000000000000014</v>
      </c>
      <c r="I28" s="115">
        <f t="shared" si="5"/>
        <v>180.00000000000006</v>
      </c>
      <c r="J28" s="115">
        <f t="shared" si="6"/>
        <v>1095.0000000000005</v>
      </c>
      <c r="K28" s="115">
        <f t="shared" si="7"/>
        <v>8640.0000000000036</v>
      </c>
      <c r="L28" s="6"/>
      <c r="M28" s="11">
        <f t="shared" si="8"/>
        <v>138.88888888888883</v>
      </c>
    </row>
    <row r="29" spans="1:13">
      <c r="A29" s="115">
        <f t="shared" si="9"/>
        <v>2.5000000000000009</v>
      </c>
      <c r="B29" s="11">
        <f t="shared" si="10"/>
        <v>58.333333333333307</v>
      </c>
      <c r="C29" s="13">
        <f t="shared" si="2"/>
        <v>291.66666666666652</v>
      </c>
      <c r="D29" s="11">
        <f t="shared" si="3"/>
        <v>1166.6666666666661</v>
      </c>
      <c r="E29" s="11">
        <f t="shared" si="4"/>
        <v>13999.999999999993</v>
      </c>
      <c r="F29" s="14">
        <f t="shared" si="0"/>
        <v>3.8888888888888871</v>
      </c>
      <c r="G29" s="6"/>
      <c r="H29" s="115">
        <f t="shared" si="1"/>
        <v>37.500000000000014</v>
      </c>
      <c r="I29" s="115">
        <f t="shared" si="5"/>
        <v>187.50000000000006</v>
      </c>
      <c r="J29" s="115">
        <f t="shared" si="6"/>
        <v>1140.6250000000005</v>
      </c>
      <c r="K29" s="115">
        <f t="shared" si="7"/>
        <v>9000.0000000000036</v>
      </c>
      <c r="L29" s="6"/>
      <c r="M29" s="11">
        <f t="shared" si="8"/>
        <v>133.33333333333329</v>
      </c>
    </row>
    <row r="30" spans="1:13">
      <c r="A30" s="115">
        <f t="shared" si="9"/>
        <v>2.600000000000001</v>
      </c>
      <c r="B30" s="11">
        <f t="shared" si="10"/>
        <v>56.089743589743563</v>
      </c>
      <c r="C30" s="13">
        <f t="shared" si="2"/>
        <v>280.44871794871779</v>
      </c>
      <c r="D30" s="11">
        <f t="shared" si="3"/>
        <v>1121.7948717948711</v>
      </c>
      <c r="E30" s="11">
        <f t="shared" si="4"/>
        <v>13461.538461538454</v>
      </c>
      <c r="F30" s="14">
        <f t="shared" si="0"/>
        <v>3.7393162393162376</v>
      </c>
      <c r="G30" s="6"/>
      <c r="H30" s="115">
        <f t="shared" si="1"/>
        <v>39.000000000000014</v>
      </c>
      <c r="I30" s="115">
        <f t="shared" si="5"/>
        <v>195.00000000000006</v>
      </c>
      <c r="J30" s="115">
        <f t="shared" si="6"/>
        <v>1186.2500000000005</v>
      </c>
      <c r="K30" s="115">
        <f t="shared" si="7"/>
        <v>9360.0000000000036</v>
      </c>
      <c r="L30" s="6"/>
      <c r="M30" s="11">
        <f t="shared" si="8"/>
        <v>128.20512820512815</v>
      </c>
    </row>
    <row r="31" spans="1:13">
      <c r="A31" s="115">
        <f t="shared" si="9"/>
        <v>2.7000000000000011</v>
      </c>
      <c r="B31" s="11">
        <f t="shared" si="10"/>
        <v>54.01234567901232</v>
      </c>
      <c r="C31" s="13">
        <f t="shared" si="2"/>
        <v>270.06172839506161</v>
      </c>
      <c r="D31" s="11">
        <f t="shared" si="3"/>
        <v>1080.2469135802464</v>
      </c>
      <c r="E31" s="11">
        <f t="shared" si="4"/>
        <v>12962.962962962956</v>
      </c>
      <c r="F31" s="14">
        <f t="shared" si="0"/>
        <v>3.6008230452674881</v>
      </c>
      <c r="G31" s="6"/>
      <c r="H31" s="115">
        <f t="shared" si="1"/>
        <v>40.500000000000014</v>
      </c>
      <c r="I31" s="115">
        <f t="shared" si="5"/>
        <v>202.50000000000006</v>
      </c>
      <c r="J31" s="115">
        <f t="shared" si="6"/>
        <v>1231.8750000000005</v>
      </c>
      <c r="K31" s="115">
        <f t="shared" si="7"/>
        <v>9720.0000000000036</v>
      </c>
      <c r="L31" s="6"/>
      <c r="M31" s="11">
        <f t="shared" si="8"/>
        <v>123.45679012345674</v>
      </c>
    </row>
    <row r="32" spans="1:13">
      <c r="A32" s="115">
        <f t="shared" si="9"/>
        <v>2.8000000000000012</v>
      </c>
      <c r="B32" s="11">
        <f t="shared" si="10"/>
        <v>52.083333333333307</v>
      </c>
      <c r="C32" s="13">
        <f t="shared" si="2"/>
        <v>260.41666666666652</v>
      </c>
      <c r="D32" s="11">
        <f t="shared" si="3"/>
        <v>1041.6666666666661</v>
      </c>
      <c r="E32" s="11">
        <f t="shared" si="4"/>
        <v>12499.999999999993</v>
      </c>
      <c r="F32" s="14">
        <f t="shared" si="0"/>
        <v>3.4722222222222205</v>
      </c>
      <c r="G32" s="6"/>
      <c r="H32" s="115">
        <f t="shared" si="1"/>
        <v>42.000000000000014</v>
      </c>
      <c r="I32" s="115">
        <f t="shared" si="5"/>
        <v>210.00000000000006</v>
      </c>
      <c r="J32" s="115">
        <f t="shared" si="6"/>
        <v>1277.5000000000005</v>
      </c>
      <c r="K32" s="115">
        <f t="shared" si="7"/>
        <v>10080.000000000004</v>
      </c>
      <c r="L32" s="6"/>
      <c r="M32" s="11">
        <f t="shared" si="8"/>
        <v>119.04761904761901</v>
      </c>
    </row>
    <row r="33" spans="1:13">
      <c r="A33" s="115">
        <f t="shared" si="9"/>
        <v>2.9000000000000012</v>
      </c>
      <c r="B33" s="11">
        <f t="shared" si="10"/>
        <v>50.287356321839056</v>
      </c>
      <c r="C33" s="13">
        <f t="shared" si="2"/>
        <v>251.43678160919529</v>
      </c>
      <c r="D33" s="11">
        <f t="shared" si="3"/>
        <v>1005.7471264367811</v>
      </c>
      <c r="E33" s="11">
        <f t="shared" si="4"/>
        <v>12068.965517241373</v>
      </c>
      <c r="F33" s="14">
        <f t="shared" si="0"/>
        <v>3.3524904214559372</v>
      </c>
      <c r="G33" s="6"/>
      <c r="H33" s="115">
        <f t="shared" si="1"/>
        <v>43.500000000000021</v>
      </c>
      <c r="I33" s="115">
        <f t="shared" si="5"/>
        <v>217.50000000000011</v>
      </c>
      <c r="J33" s="115">
        <f t="shared" si="6"/>
        <v>1323.1250000000007</v>
      </c>
      <c r="K33" s="115">
        <f t="shared" si="7"/>
        <v>10440.000000000005</v>
      </c>
      <c r="L33" s="6"/>
      <c r="M33" s="11">
        <f t="shared" si="8"/>
        <v>114.94252873563212</v>
      </c>
    </row>
    <row r="34" spans="1:13">
      <c r="A34" s="115">
        <f t="shared" si="9"/>
        <v>3.0000000000000013</v>
      </c>
      <c r="B34" s="11">
        <f t="shared" si="10"/>
        <v>48.611111111111086</v>
      </c>
      <c r="C34" s="13">
        <f t="shared" si="2"/>
        <v>243.05555555555543</v>
      </c>
      <c r="D34" s="11">
        <f t="shared" si="3"/>
        <v>972.22222222222172</v>
      </c>
      <c r="E34" s="11">
        <f t="shared" si="4"/>
        <v>11666.666666666661</v>
      </c>
      <c r="F34" s="14">
        <f t="shared" si="0"/>
        <v>3.2407407407407391</v>
      </c>
      <c r="G34" s="6"/>
      <c r="H34" s="115">
        <f t="shared" si="1"/>
        <v>45.000000000000021</v>
      </c>
      <c r="I34" s="115">
        <f t="shared" si="5"/>
        <v>225.00000000000011</v>
      </c>
      <c r="J34" s="115">
        <f t="shared" si="6"/>
        <v>1368.7500000000007</v>
      </c>
      <c r="K34" s="115">
        <f t="shared" si="7"/>
        <v>10800.000000000005</v>
      </c>
      <c r="L34" s="6"/>
      <c r="M34" s="11">
        <f t="shared" si="8"/>
        <v>111.11111111111106</v>
      </c>
    </row>
    <row r="35" spans="1:13">
      <c r="A35" s="115">
        <f t="shared" si="9"/>
        <v>3.1000000000000014</v>
      </c>
      <c r="B35" s="11">
        <f t="shared" si="10"/>
        <v>47.043010752688147</v>
      </c>
      <c r="C35" s="13">
        <f t="shared" si="2"/>
        <v>235.21505376344072</v>
      </c>
      <c r="D35" s="11">
        <f t="shared" si="3"/>
        <v>940.860215053763</v>
      </c>
      <c r="E35" s="11">
        <f t="shared" si="4"/>
        <v>11290.322580645156</v>
      </c>
      <c r="F35" s="14">
        <f t="shared" si="0"/>
        <v>3.1362007168458765</v>
      </c>
      <c r="G35" s="6"/>
      <c r="H35" s="115">
        <f t="shared" si="1"/>
        <v>46.500000000000021</v>
      </c>
      <c r="I35" s="115">
        <f t="shared" si="5"/>
        <v>232.50000000000011</v>
      </c>
      <c r="J35" s="115">
        <f t="shared" si="6"/>
        <v>1414.3750000000007</v>
      </c>
      <c r="K35" s="115">
        <f t="shared" si="7"/>
        <v>11160.000000000005</v>
      </c>
      <c r="L35" s="6"/>
      <c r="M35" s="11">
        <f t="shared" si="8"/>
        <v>107.52688172043005</v>
      </c>
    </row>
    <row r="36" spans="1:13">
      <c r="A36" s="115">
        <f t="shared" si="9"/>
        <v>3.2000000000000015</v>
      </c>
      <c r="B36" s="11">
        <f t="shared" si="10"/>
        <v>45.572916666666636</v>
      </c>
      <c r="C36" s="13">
        <f t="shared" si="2"/>
        <v>227.86458333333317</v>
      </c>
      <c r="D36" s="11">
        <f t="shared" si="3"/>
        <v>911.45833333333269</v>
      </c>
      <c r="E36" s="11">
        <f t="shared" si="4"/>
        <v>10937.499999999993</v>
      </c>
      <c r="F36" s="14">
        <f t="shared" si="0"/>
        <v>3.0381944444444424</v>
      </c>
      <c r="G36" s="6"/>
      <c r="H36" s="115">
        <f t="shared" si="1"/>
        <v>48.000000000000021</v>
      </c>
      <c r="I36" s="115">
        <f t="shared" si="5"/>
        <v>240.00000000000011</v>
      </c>
      <c r="J36" s="115">
        <f t="shared" si="6"/>
        <v>1460.0000000000007</v>
      </c>
      <c r="K36" s="115">
        <f t="shared" si="7"/>
        <v>11520.000000000005</v>
      </c>
      <c r="L36" s="6"/>
      <c r="M36" s="11">
        <f t="shared" si="8"/>
        <v>104.16666666666661</v>
      </c>
    </row>
    <row r="37" spans="1:13">
      <c r="A37" s="115">
        <f t="shared" si="9"/>
        <v>3.3000000000000016</v>
      </c>
      <c r="B37" s="11">
        <f t="shared" si="10"/>
        <v>44.191919191919162</v>
      </c>
      <c r="C37" s="13">
        <f t="shared" si="2"/>
        <v>220.95959595959582</v>
      </c>
      <c r="D37" s="11">
        <f t="shared" si="3"/>
        <v>883.83838383838327</v>
      </c>
      <c r="E37" s="11">
        <f t="shared" si="4"/>
        <v>10606.060606060599</v>
      </c>
      <c r="F37" s="14">
        <f t="shared" si="0"/>
        <v>2.9461279461279442</v>
      </c>
      <c r="G37" s="6"/>
      <c r="H37" s="115">
        <f t="shared" si="1"/>
        <v>49.500000000000021</v>
      </c>
      <c r="I37" s="115">
        <f t="shared" si="5"/>
        <v>247.50000000000011</v>
      </c>
      <c r="J37" s="115">
        <f t="shared" si="6"/>
        <v>1505.6250000000007</v>
      </c>
      <c r="K37" s="115">
        <f t="shared" si="7"/>
        <v>11880.000000000005</v>
      </c>
      <c r="L37" s="6"/>
      <c r="M37" s="11">
        <f t="shared" si="8"/>
        <v>101.01010101010097</v>
      </c>
    </row>
    <row r="38" spans="1:13">
      <c r="A38" s="115">
        <f t="shared" si="9"/>
        <v>3.4000000000000017</v>
      </c>
      <c r="B38" s="11">
        <f t="shared" si="10"/>
        <v>42.892156862745068</v>
      </c>
      <c r="C38" s="13">
        <f t="shared" si="2"/>
        <v>214.46078431372536</v>
      </c>
      <c r="D38" s="11">
        <f t="shared" si="3"/>
        <v>857.84313725490154</v>
      </c>
      <c r="E38" s="11">
        <f t="shared" si="4"/>
        <v>10294.117647058818</v>
      </c>
      <c r="F38" s="14">
        <f t="shared" si="0"/>
        <v>2.8594771241830044</v>
      </c>
      <c r="G38" s="6"/>
      <c r="H38" s="115">
        <f t="shared" si="1"/>
        <v>51.000000000000028</v>
      </c>
      <c r="I38" s="115">
        <f t="shared" si="5"/>
        <v>255.00000000000014</v>
      </c>
      <c r="J38" s="115">
        <f t="shared" si="6"/>
        <v>1551.2500000000009</v>
      </c>
      <c r="K38" s="115">
        <f t="shared" si="7"/>
        <v>12240.000000000007</v>
      </c>
      <c r="L38" s="6"/>
      <c r="M38" s="11">
        <f t="shared" si="8"/>
        <v>98.03921568627446</v>
      </c>
    </row>
    <row r="39" spans="1:13">
      <c r="A39" s="115">
        <f t="shared" si="9"/>
        <v>3.5000000000000018</v>
      </c>
      <c r="B39" s="11">
        <f t="shared" si="10"/>
        <v>41.666666666666643</v>
      </c>
      <c r="C39" s="13">
        <f t="shared" si="2"/>
        <v>208.3333333333332</v>
      </c>
      <c r="D39" s="11">
        <f t="shared" si="3"/>
        <v>833.33333333333269</v>
      </c>
      <c r="E39" s="11">
        <f t="shared" si="4"/>
        <v>9999.9999999999927</v>
      </c>
      <c r="F39" s="14">
        <f t="shared" si="0"/>
        <v>2.7777777777777763</v>
      </c>
      <c r="G39" s="6"/>
      <c r="H39" s="115">
        <f t="shared" si="1"/>
        <v>52.500000000000028</v>
      </c>
      <c r="I39" s="115">
        <f t="shared" si="5"/>
        <v>262.50000000000011</v>
      </c>
      <c r="J39" s="115">
        <f t="shared" si="6"/>
        <v>1596.8750000000009</v>
      </c>
      <c r="K39" s="115">
        <f t="shared" si="7"/>
        <v>12600.000000000005</v>
      </c>
      <c r="L39" s="6"/>
      <c r="M39" s="11">
        <f t="shared" si="8"/>
        <v>95.238095238095184</v>
      </c>
    </row>
    <row r="40" spans="1:13">
      <c r="A40" s="115">
        <f t="shared" si="9"/>
        <v>3.6000000000000019</v>
      </c>
      <c r="B40" s="11">
        <f t="shared" si="10"/>
        <v>40.509259259259231</v>
      </c>
      <c r="C40" s="13">
        <f t="shared" si="2"/>
        <v>202.54629629629616</v>
      </c>
      <c r="D40" s="11">
        <f t="shared" si="3"/>
        <v>810.18518518518465</v>
      </c>
      <c r="E40" s="11">
        <f t="shared" si="4"/>
        <v>9722.2222222222154</v>
      </c>
      <c r="F40" s="14">
        <f t="shared" si="0"/>
        <v>2.7006172839506153</v>
      </c>
      <c r="G40" s="6"/>
      <c r="H40" s="115">
        <f t="shared" si="1"/>
        <v>54.000000000000028</v>
      </c>
      <c r="I40" s="115">
        <f t="shared" si="5"/>
        <v>270.00000000000011</v>
      </c>
      <c r="J40" s="115">
        <f t="shared" si="6"/>
        <v>1642.5000000000009</v>
      </c>
      <c r="K40" s="115">
        <f t="shared" si="7"/>
        <v>12960.000000000005</v>
      </c>
      <c r="L40" s="6"/>
      <c r="M40" s="11">
        <f t="shared" si="8"/>
        <v>92.592592592592538</v>
      </c>
    </row>
    <row r="41" spans="1:13">
      <c r="A41" s="115">
        <f t="shared" si="9"/>
        <v>3.700000000000002</v>
      </c>
      <c r="B41" s="11">
        <f t="shared" si="10"/>
        <v>39.414414414414388</v>
      </c>
      <c r="C41" s="13">
        <f t="shared" si="2"/>
        <v>197.07207207207193</v>
      </c>
      <c r="D41" s="11">
        <f t="shared" si="3"/>
        <v>788.28828828828773</v>
      </c>
      <c r="E41" s="11">
        <f t="shared" si="4"/>
        <v>9459.4594594594528</v>
      </c>
      <c r="F41" s="14">
        <f t="shared" si="0"/>
        <v>2.6276276276276258</v>
      </c>
      <c r="G41" s="6"/>
      <c r="H41" s="115">
        <f t="shared" si="1"/>
        <v>55.500000000000028</v>
      </c>
      <c r="I41" s="115">
        <f t="shared" si="5"/>
        <v>277.50000000000011</v>
      </c>
      <c r="J41" s="115">
        <f t="shared" si="6"/>
        <v>1688.1250000000009</v>
      </c>
      <c r="K41" s="115">
        <f t="shared" si="7"/>
        <v>13320.000000000005</v>
      </c>
      <c r="L41" s="6"/>
      <c r="M41" s="11">
        <f t="shared" si="8"/>
        <v>90.090090090090044</v>
      </c>
    </row>
    <row r="42" spans="1:13">
      <c r="A42" s="115">
        <f t="shared" si="9"/>
        <v>3.800000000000002</v>
      </c>
      <c r="B42" s="11">
        <f t="shared" si="10"/>
        <v>38.377192982456116</v>
      </c>
      <c r="C42" s="13">
        <f t="shared" si="2"/>
        <v>191.88596491228057</v>
      </c>
      <c r="D42" s="11">
        <f t="shared" si="3"/>
        <v>767.54385964912228</v>
      </c>
      <c r="E42" s="11">
        <f t="shared" si="4"/>
        <v>9210.5263157894678</v>
      </c>
      <c r="F42" s="14">
        <f t="shared" si="0"/>
        <v>2.5584795321637412</v>
      </c>
      <c r="G42" s="6"/>
      <c r="H42" s="115">
        <f t="shared" si="1"/>
        <v>57.000000000000028</v>
      </c>
      <c r="I42" s="115">
        <f t="shared" si="5"/>
        <v>285.00000000000011</v>
      </c>
      <c r="J42" s="115">
        <f t="shared" si="6"/>
        <v>1733.7500000000009</v>
      </c>
      <c r="K42" s="115">
        <f t="shared" si="7"/>
        <v>13680.000000000005</v>
      </c>
      <c r="L42" s="6"/>
      <c r="M42" s="11">
        <f t="shared" si="8"/>
        <v>87.719298245613984</v>
      </c>
    </row>
    <row r="43" spans="1:13">
      <c r="A43" s="115">
        <f t="shared" si="9"/>
        <v>3.9000000000000021</v>
      </c>
      <c r="B43" s="11">
        <f t="shared" si="10"/>
        <v>37.39316239316237</v>
      </c>
      <c r="C43" s="13">
        <f t="shared" si="2"/>
        <v>186.96581196581184</v>
      </c>
      <c r="D43" s="11">
        <f t="shared" si="3"/>
        <v>747.86324786324747</v>
      </c>
      <c r="E43" s="11">
        <f t="shared" si="4"/>
        <v>8974.3589743589691</v>
      </c>
      <c r="F43" s="14">
        <f t="shared" si="0"/>
        <v>2.4928774928774913</v>
      </c>
      <c r="G43" s="6"/>
      <c r="H43" s="115">
        <f t="shared" si="1"/>
        <v>58.500000000000028</v>
      </c>
      <c r="I43" s="115">
        <f t="shared" si="5"/>
        <v>292.50000000000011</v>
      </c>
      <c r="J43" s="115">
        <f t="shared" si="6"/>
        <v>1779.3750000000009</v>
      </c>
      <c r="K43" s="115">
        <f t="shared" si="7"/>
        <v>14040.000000000005</v>
      </c>
      <c r="L43" s="6"/>
      <c r="M43" s="11">
        <f t="shared" si="8"/>
        <v>85.470085470085422</v>
      </c>
    </row>
    <row r="44" spans="1:13">
      <c r="A44" s="115">
        <f t="shared" si="9"/>
        <v>4.0000000000000018</v>
      </c>
      <c r="B44" s="11">
        <f t="shared" si="10"/>
        <v>36.458333333333314</v>
      </c>
      <c r="C44" s="13">
        <f t="shared" si="2"/>
        <v>182.29166666666657</v>
      </c>
      <c r="D44" s="11">
        <f t="shared" si="3"/>
        <v>729.1666666666664</v>
      </c>
      <c r="E44" s="11">
        <f t="shared" si="4"/>
        <v>8749.9999999999964</v>
      </c>
      <c r="F44" s="14">
        <f t="shared" si="0"/>
        <v>2.4305555555555545</v>
      </c>
      <c r="G44" s="6"/>
      <c r="H44" s="115">
        <f t="shared" si="1"/>
        <v>60.000000000000028</v>
      </c>
      <c r="I44" s="115">
        <f t="shared" si="5"/>
        <v>300.00000000000011</v>
      </c>
      <c r="J44" s="115">
        <f t="shared" si="6"/>
        <v>1825.0000000000009</v>
      </c>
      <c r="K44" s="115">
        <f t="shared" si="7"/>
        <v>14400.000000000005</v>
      </c>
      <c r="L44" s="6"/>
      <c r="M44" s="11">
        <f t="shared" si="8"/>
        <v>83.3333333333333</v>
      </c>
    </row>
    <row r="45" spans="1:13">
      <c r="A45" s="115">
        <f t="shared" si="9"/>
        <v>4.1000000000000014</v>
      </c>
      <c r="B45" s="11">
        <f t="shared" si="10"/>
        <v>35.56910569105689</v>
      </c>
      <c r="C45" s="13">
        <f t="shared" si="2"/>
        <v>177.84552845528447</v>
      </c>
      <c r="D45" s="11">
        <f t="shared" si="3"/>
        <v>711.38211382113786</v>
      </c>
      <c r="E45" s="11">
        <f t="shared" si="4"/>
        <v>8536.5853658536544</v>
      </c>
      <c r="F45" s="14">
        <f t="shared" si="0"/>
        <v>2.3712737127371262</v>
      </c>
      <c r="G45" s="6"/>
      <c r="H45" s="115">
        <f t="shared" si="1"/>
        <v>61.500000000000021</v>
      </c>
      <c r="I45" s="115">
        <f t="shared" si="5"/>
        <v>307.50000000000011</v>
      </c>
      <c r="J45" s="115">
        <f t="shared" si="6"/>
        <v>1870.6250000000007</v>
      </c>
      <c r="K45" s="115">
        <f t="shared" si="7"/>
        <v>14760.000000000005</v>
      </c>
      <c r="L45" s="6"/>
      <c r="M45" s="11">
        <f t="shared" si="8"/>
        <v>81.300813008130049</v>
      </c>
    </row>
    <row r="46" spans="1:13">
      <c r="A46" s="115">
        <f t="shared" si="9"/>
        <v>4.2000000000000011</v>
      </c>
      <c r="B46" s="11">
        <f t="shared" si="10"/>
        <v>34.722222222222207</v>
      </c>
      <c r="C46" s="13">
        <f t="shared" si="2"/>
        <v>173.61111111111103</v>
      </c>
      <c r="D46" s="11">
        <f t="shared" si="3"/>
        <v>694.444444444444</v>
      </c>
      <c r="E46" s="11">
        <f t="shared" si="4"/>
        <v>8333.3333333333285</v>
      </c>
      <c r="F46" s="14">
        <f t="shared" si="0"/>
        <v>2.314814814814814</v>
      </c>
      <c r="G46" s="6"/>
      <c r="H46" s="115">
        <f t="shared" si="1"/>
        <v>63.000000000000014</v>
      </c>
      <c r="I46" s="115">
        <f t="shared" si="5"/>
        <v>315.00000000000006</v>
      </c>
      <c r="J46" s="115">
        <f t="shared" si="6"/>
        <v>1916.2500000000002</v>
      </c>
      <c r="K46" s="115">
        <f t="shared" si="7"/>
        <v>15120.000000000004</v>
      </c>
      <c r="L46" s="6"/>
      <c r="M46" s="11">
        <f t="shared" si="8"/>
        <v>79.365079365079353</v>
      </c>
    </row>
    <row r="47" spans="1:13">
      <c r="A47" s="115">
        <f t="shared" si="9"/>
        <v>4.3000000000000007</v>
      </c>
      <c r="B47" s="11">
        <f t="shared" si="10"/>
        <v>33.914728682170534</v>
      </c>
      <c r="C47" s="13">
        <f t="shared" si="2"/>
        <v>169.57364341085267</v>
      </c>
      <c r="D47" s="11">
        <f t="shared" si="3"/>
        <v>678.29457364341067</v>
      </c>
      <c r="E47" s="11">
        <f t="shared" si="4"/>
        <v>8139.5348837209276</v>
      </c>
      <c r="F47" s="14">
        <f t="shared" si="0"/>
        <v>2.2609819121447021</v>
      </c>
      <c r="G47" s="6"/>
      <c r="H47" s="115">
        <f t="shared" si="1"/>
        <v>64.500000000000014</v>
      </c>
      <c r="I47" s="115">
        <f t="shared" si="5"/>
        <v>322.50000000000006</v>
      </c>
      <c r="J47" s="115">
        <f t="shared" si="6"/>
        <v>1961.8750000000002</v>
      </c>
      <c r="K47" s="115">
        <f t="shared" si="7"/>
        <v>15480.000000000004</v>
      </c>
      <c r="L47" s="6"/>
      <c r="M47" s="11">
        <f t="shared" si="8"/>
        <v>77.519379844961222</v>
      </c>
    </row>
    <row r="48" spans="1:13">
      <c r="A48" s="115">
        <f t="shared" si="9"/>
        <v>4.4000000000000004</v>
      </c>
      <c r="B48" s="11">
        <f t="shared" si="10"/>
        <v>33.143939393939384</v>
      </c>
      <c r="C48" s="13">
        <f t="shared" si="2"/>
        <v>165.71969696969691</v>
      </c>
      <c r="D48" s="11">
        <f t="shared" si="3"/>
        <v>662.87878787878765</v>
      </c>
      <c r="E48" s="11">
        <f t="shared" si="4"/>
        <v>7954.5454545454522</v>
      </c>
      <c r="F48" s="14">
        <f t="shared" si="0"/>
        <v>2.2095959595959589</v>
      </c>
      <c r="G48" s="6"/>
      <c r="H48" s="115">
        <f t="shared" si="1"/>
        <v>66</v>
      </c>
      <c r="I48" s="115">
        <f t="shared" si="5"/>
        <v>330</v>
      </c>
      <c r="J48" s="115">
        <f t="shared" si="6"/>
        <v>2007.5</v>
      </c>
      <c r="K48" s="115">
        <f t="shared" si="7"/>
        <v>15840</v>
      </c>
      <c r="L48" s="6"/>
      <c r="M48" s="11">
        <f t="shared" si="8"/>
        <v>75.757575757575751</v>
      </c>
    </row>
    <row r="49" spans="1:13">
      <c r="A49" s="115">
        <f t="shared" si="9"/>
        <v>4.5</v>
      </c>
      <c r="B49" s="11">
        <f t="shared" si="10"/>
        <v>32.407407407407405</v>
      </c>
      <c r="C49" s="13">
        <f t="shared" si="2"/>
        <v>162.03703703703701</v>
      </c>
      <c r="D49" s="11">
        <f t="shared" si="3"/>
        <v>648.14814814814804</v>
      </c>
      <c r="E49" s="11">
        <f t="shared" si="4"/>
        <v>7777.7777777777765</v>
      </c>
      <c r="F49" s="14">
        <f t="shared" si="0"/>
        <v>2.1604938271604937</v>
      </c>
      <c r="G49" s="6"/>
      <c r="H49" s="115">
        <f t="shared" si="1"/>
        <v>67.5</v>
      </c>
      <c r="I49" s="115">
        <f t="shared" si="5"/>
        <v>337.5</v>
      </c>
      <c r="J49" s="115">
        <f t="shared" si="6"/>
        <v>2053.125</v>
      </c>
      <c r="K49" s="115">
        <f t="shared" si="7"/>
        <v>16200</v>
      </c>
      <c r="L49" s="6"/>
      <c r="M49" s="11">
        <f t="shared" si="8"/>
        <v>74.074074074074076</v>
      </c>
    </row>
    <row r="50" spans="1:13">
      <c r="A50" s="115">
        <f t="shared" si="9"/>
        <v>4.5999999999999996</v>
      </c>
      <c r="B50" s="11">
        <f t="shared" si="10"/>
        <v>31.702898550724637</v>
      </c>
      <c r="C50" s="13">
        <f t="shared" si="2"/>
        <v>158.51449275362319</v>
      </c>
      <c r="D50" s="11">
        <f t="shared" si="3"/>
        <v>634.05797101449275</v>
      </c>
      <c r="E50" s="11">
        <f t="shared" si="4"/>
        <v>7608.695652173913</v>
      </c>
      <c r="F50" s="14">
        <f t="shared" si="0"/>
        <v>2.1135265700483092</v>
      </c>
      <c r="G50" s="6"/>
      <c r="H50" s="115">
        <f t="shared" si="1"/>
        <v>69</v>
      </c>
      <c r="I50" s="115">
        <f t="shared" si="5"/>
        <v>345</v>
      </c>
      <c r="J50" s="115">
        <f t="shared" si="6"/>
        <v>2098.75</v>
      </c>
      <c r="K50" s="115">
        <f t="shared" si="7"/>
        <v>16560</v>
      </c>
      <c r="L50" s="6"/>
      <c r="M50" s="11">
        <f t="shared" si="8"/>
        <v>72.463768115942031</v>
      </c>
    </row>
    <row r="51" spans="1:13">
      <c r="A51" s="115">
        <f t="shared" si="9"/>
        <v>4.6999999999999993</v>
      </c>
      <c r="B51" s="11">
        <f t="shared" si="10"/>
        <v>31.028368794326241</v>
      </c>
      <c r="C51" s="13">
        <f t="shared" si="2"/>
        <v>155.1418439716312</v>
      </c>
      <c r="D51" s="11">
        <f t="shared" si="3"/>
        <v>620.56737588652481</v>
      </c>
      <c r="E51" s="11">
        <f t="shared" si="4"/>
        <v>7446.8085106382978</v>
      </c>
      <c r="F51" s="14">
        <f t="shared" si="0"/>
        <v>2.0685579196217492</v>
      </c>
      <c r="G51" s="6"/>
      <c r="H51" s="115">
        <f t="shared" si="1"/>
        <v>70.499999999999986</v>
      </c>
      <c r="I51" s="115">
        <f t="shared" si="5"/>
        <v>352.49999999999994</v>
      </c>
      <c r="J51" s="115">
        <f t="shared" si="6"/>
        <v>2144.3749999999995</v>
      </c>
      <c r="K51" s="115">
        <f t="shared" si="7"/>
        <v>16919.999999999996</v>
      </c>
      <c r="L51" s="6"/>
      <c r="M51" s="11">
        <f t="shared" si="8"/>
        <v>70.921985815602852</v>
      </c>
    </row>
    <row r="52" spans="1:13">
      <c r="A52" s="115">
        <f t="shared" si="9"/>
        <v>4.7999999999999989</v>
      </c>
      <c r="B52" s="11">
        <f t="shared" si="10"/>
        <v>30.381944444444446</v>
      </c>
      <c r="C52" s="13">
        <f t="shared" si="2"/>
        <v>151.90972222222223</v>
      </c>
      <c r="D52" s="11">
        <f t="shared" si="3"/>
        <v>607.63888888888891</v>
      </c>
      <c r="E52" s="11">
        <f t="shared" si="4"/>
        <v>7291.666666666667</v>
      </c>
      <c r="F52" s="14">
        <f t="shared" si="0"/>
        <v>2.0254629629629632</v>
      </c>
      <c r="G52" s="6"/>
      <c r="H52" s="115">
        <f t="shared" si="1"/>
        <v>71.999999999999986</v>
      </c>
      <c r="I52" s="115">
        <f t="shared" si="5"/>
        <v>359.99999999999994</v>
      </c>
      <c r="J52" s="115">
        <f t="shared" si="6"/>
        <v>2189.9999999999995</v>
      </c>
      <c r="K52" s="115">
        <f t="shared" si="7"/>
        <v>17279.999999999996</v>
      </c>
      <c r="L52" s="6"/>
      <c r="M52" s="11">
        <f t="shared" si="8"/>
        <v>69.444444444444457</v>
      </c>
    </row>
    <row r="53" spans="1:13">
      <c r="A53" s="115">
        <f t="shared" si="9"/>
        <v>4.8999999999999986</v>
      </c>
      <c r="B53" s="11">
        <f t="shared" si="10"/>
        <v>29.761904761904766</v>
      </c>
      <c r="C53" s="13">
        <f t="shared" si="2"/>
        <v>148.80952380952382</v>
      </c>
      <c r="D53" s="11">
        <f t="shared" si="3"/>
        <v>595.2380952380953</v>
      </c>
      <c r="E53" s="11">
        <f t="shared" si="4"/>
        <v>7142.8571428571431</v>
      </c>
      <c r="F53" s="14">
        <f t="shared" si="0"/>
        <v>1.9841269841269844</v>
      </c>
      <c r="G53" s="6"/>
      <c r="H53" s="115">
        <f t="shared" si="1"/>
        <v>73.499999999999972</v>
      </c>
      <c r="I53" s="115">
        <f t="shared" si="5"/>
        <v>367.49999999999989</v>
      </c>
      <c r="J53" s="115">
        <f t="shared" si="6"/>
        <v>2235.6249999999991</v>
      </c>
      <c r="K53" s="115">
        <f t="shared" si="7"/>
        <v>17639.999999999993</v>
      </c>
      <c r="L53" s="6"/>
      <c r="M53" s="11">
        <f t="shared" si="8"/>
        <v>68.027210884353764</v>
      </c>
    </row>
    <row r="54" spans="1:13">
      <c r="A54" s="115">
        <f t="shared" si="9"/>
        <v>4.9999999999999982</v>
      </c>
      <c r="B54" s="11">
        <f t="shared" si="10"/>
        <v>29.166666666666675</v>
      </c>
      <c r="C54" s="13">
        <f t="shared" si="2"/>
        <v>145.83333333333337</v>
      </c>
      <c r="D54" s="11">
        <f t="shared" si="3"/>
        <v>583.33333333333348</v>
      </c>
      <c r="E54" s="11">
        <f t="shared" si="4"/>
        <v>7000.0000000000018</v>
      </c>
      <c r="F54" s="14">
        <f t="shared" si="0"/>
        <v>1.9444444444444451</v>
      </c>
      <c r="G54" s="6"/>
      <c r="H54" s="115">
        <f t="shared" si="1"/>
        <v>74.999999999999972</v>
      </c>
      <c r="I54" s="115">
        <f t="shared" si="5"/>
        <v>374.99999999999989</v>
      </c>
      <c r="J54" s="115">
        <f t="shared" si="6"/>
        <v>2281.2499999999991</v>
      </c>
      <c r="K54" s="115">
        <f t="shared" si="7"/>
        <v>17999.999999999993</v>
      </c>
      <c r="L54" s="6"/>
      <c r="M54" s="11">
        <f t="shared" si="8"/>
        <v>66.666666666666686</v>
      </c>
    </row>
    <row r="55" spans="1:13">
      <c r="A55" s="115">
        <f t="shared" si="9"/>
        <v>5.0999999999999979</v>
      </c>
      <c r="B55" s="11">
        <f t="shared" si="10"/>
        <v>28.594771241830074</v>
      </c>
      <c r="C55" s="13">
        <f t="shared" si="2"/>
        <v>142.97385620915037</v>
      </c>
      <c r="D55" s="11">
        <f t="shared" si="3"/>
        <v>571.89542483660148</v>
      </c>
      <c r="E55" s="11">
        <f t="shared" si="4"/>
        <v>6862.7450980392177</v>
      </c>
      <c r="F55" s="14">
        <f t="shared" si="0"/>
        <v>1.9063180827886717</v>
      </c>
      <c r="G55" s="6"/>
      <c r="H55" s="115">
        <f t="shared" si="1"/>
        <v>76.499999999999972</v>
      </c>
      <c r="I55" s="115">
        <f t="shared" si="5"/>
        <v>382.49999999999989</v>
      </c>
      <c r="J55" s="115">
        <f t="shared" si="6"/>
        <v>2326.8749999999991</v>
      </c>
      <c r="K55" s="115">
        <f t="shared" si="7"/>
        <v>18359.999999999993</v>
      </c>
      <c r="L55" s="6"/>
      <c r="M55" s="11">
        <f t="shared" si="8"/>
        <v>65.35947712418303</v>
      </c>
    </row>
    <row r="56" spans="1:13">
      <c r="A56" s="115">
        <f t="shared" si="9"/>
        <v>5.1999999999999975</v>
      </c>
      <c r="B56" s="11">
        <f t="shared" si="10"/>
        <v>28.044871794871806</v>
      </c>
      <c r="C56" s="13">
        <f t="shared" si="2"/>
        <v>140.22435897435903</v>
      </c>
      <c r="D56" s="11">
        <f t="shared" si="3"/>
        <v>560.89743589743614</v>
      </c>
      <c r="E56" s="11">
        <f t="shared" si="4"/>
        <v>6730.7692307692341</v>
      </c>
      <c r="F56" s="14">
        <f t="shared" si="0"/>
        <v>1.8696581196581203</v>
      </c>
      <c r="G56" s="6"/>
      <c r="H56" s="115">
        <f t="shared" si="1"/>
        <v>77.999999999999957</v>
      </c>
      <c r="I56" s="115">
        <f t="shared" si="5"/>
        <v>389.99999999999977</v>
      </c>
      <c r="J56" s="115">
        <f t="shared" si="6"/>
        <v>2372.4999999999986</v>
      </c>
      <c r="K56" s="115">
        <f t="shared" si="7"/>
        <v>18719.999999999989</v>
      </c>
      <c r="L56" s="6"/>
      <c r="M56" s="11">
        <f t="shared" si="8"/>
        <v>64.102564102564131</v>
      </c>
    </row>
    <row r="57" spans="1:13">
      <c r="A57" s="115">
        <f t="shared" si="9"/>
        <v>5.2999999999999972</v>
      </c>
      <c r="B57" s="11">
        <f t="shared" si="10"/>
        <v>27.515723270440262</v>
      </c>
      <c r="C57" s="13">
        <f t="shared" si="2"/>
        <v>137.57861635220132</v>
      </c>
      <c r="D57" s="11">
        <f t="shared" si="3"/>
        <v>550.31446540880529</v>
      </c>
      <c r="E57" s="11">
        <f t="shared" si="4"/>
        <v>6603.7735849056635</v>
      </c>
      <c r="F57" s="14">
        <f t="shared" si="0"/>
        <v>1.8343815513626842</v>
      </c>
      <c r="G57" s="6"/>
      <c r="H57" s="115">
        <f t="shared" si="1"/>
        <v>79.499999999999957</v>
      </c>
      <c r="I57" s="115">
        <f t="shared" si="5"/>
        <v>397.49999999999977</v>
      </c>
      <c r="J57" s="115">
        <f t="shared" si="6"/>
        <v>2418.1249999999986</v>
      </c>
      <c r="K57" s="115">
        <f t="shared" si="7"/>
        <v>19079.999999999989</v>
      </c>
      <c r="L57" s="6"/>
      <c r="M57" s="11">
        <f t="shared" si="8"/>
        <v>62.893081761006322</v>
      </c>
    </row>
    <row r="58" spans="1:13">
      <c r="A58" s="115">
        <f t="shared" si="9"/>
        <v>5.3999999999999968</v>
      </c>
      <c r="B58" s="11">
        <f t="shared" si="10"/>
        <v>27.006172839506185</v>
      </c>
      <c r="C58" s="13">
        <f t="shared" si="2"/>
        <v>135.03086419753092</v>
      </c>
      <c r="D58" s="11">
        <f t="shared" si="3"/>
        <v>540.12345679012367</v>
      </c>
      <c r="E58" s="11">
        <f t="shared" si="4"/>
        <v>6481.4814814814836</v>
      </c>
      <c r="F58" s="14">
        <f t="shared" si="0"/>
        <v>1.8004115226337456</v>
      </c>
      <c r="G58" s="6"/>
      <c r="H58" s="115">
        <f t="shared" si="1"/>
        <v>80.999999999999957</v>
      </c>
      <c r="I58" s="115">
        <f t="shared" si="5"/>
        <v>404.99999999999977</v>
      </c>
      <c r="J58" s="115">
        <f t="shared" si="6"/>
        <v>2463.7499999999986</v>
      </c>
      <c r="K58" s="115">
        <f t="shared" si="7"/>
        <v>19439.999999999989</v>
      </c>
      <c r="L58" s="6"/>
      <c r="M58" s="11">
        <f t="shared" si="8"/>
        <v>61.728395061728428</v>
      </c>
    </row>
    <row r="59" spans="1:13">
      <c r="A59" s="115">
        <f t="shared" si="9"/>
        <v>5.4999999999999964</v>
      </c>
      <c r="B59" s="11">
        <f t="shared" si="10"/>
        <v>26.51515151515153</v>
      </c>
      <c r="C59" s="13">
        <f t="shared" si="2"/>
        <v>132.57575757575765</v>
      </c>
      <c r="D59" s="11">
        <f t="shared" si="3"/>
        <v>530.3030303030306</v>
      </c>
      <c r="E59" s="11">
        <f t="shared" si="4"/>
        <v>6363.6363636363676</v>
      </c>
      <c r="F59" s="14">
        <f t="shared" si="0"/>
        <v>1.7676767676767686</v>
      </c>
      <c r="G59" s="6"/>
      <c r="H59" s="115">
        <f t="shared" si="1"/>
        <v>82.499999999999943</v>
      </c>
      <c r="I59" s="115">
        <f t="shared" si="5"/>
        <v>412.49999999999972</v>
      </c>
      <c r="J59" s="115">
        <f t="shared" si="6"/>
        <v>2509.3749999999982</v>
      </c>
      <c r="K59" s="115">
        <f t="shared" si="7"/>
        <v>19799.999999999985</v>
      </c>
      <c r="L59" s="6"/>
      <c r="M59" s="11">
        <f t="shared" si="8"/>
        <v>60.606060606060645</v>
      </c>
    </row>
    <row r="60" spans="1:13">
      <c r="A60" s="115">
        <f t="shared" si="9"/>
        <v>5.5999999999999961</v>
      </c>
      <c r="B60" s="11">
        <f t="shared" si="10"/>
        <v>26.041666666666682</v>
      </c>
      <c r="C60" s="13">
        <f t="shared" si="2"/>
        <v>130.2083333333334</v>
      </c>
      <c r="D60" s="11">
        <f t="shared" si="3"/>
        <v>520.8333333333336</v>
      </c>
      <c r="E60" s="11">
        <f t="shared" si="4"/>
        <v>6250.0000000000036</v>
      </c>
      <c r="F60" s="14">
        <f t="shared" si="0"/>
        <v>1.736111111111112</v>
      </c>
      <c r="G60" s="6"/>
      <c r="H60" s="115">
        <f t="shared" si="1"/>
        <v>83.999999999999943</v>
      </c>
      <c r="I60" s="115">
        <f t="shared" si="5"/>
        <v>419.99999999999972</v>
      </c>
      <c r="J60" s="115">
        <f t="shared" si="6"/>
        <v>2554.9999999999982</v>
      </c>
      <c r="K60" s="115">
        <f t="shared" si="7"/>
        <v>20159.999999999985</v>
      </c>
      <c r="L60" s="6"/>
      <c r="M60" s="11">
        <f t="shared" si="8"/>
        <v>59.523809523809561</v>
      </c>
    </row>
    <row r="61" spans="1:13">
      <c r="A61" s="115">
        <f t="shared" si="9"/>
        <v>5.6999999999999957</v>
      </c>
      <c r="B61" s="11">
        <f t="shared" si="10"/>
        <v>25.584795321637444</v>
      </c>
      <c r="C61" s="13">
        <f t="shared" si="2"/>
        <v>127.92397660818722</v>
      </c>
      <c r="D61" s="11">
        <f t="shared" si="3"/>
        <v>511.69590643274887</v>
      </c>
      <c r="E61" s="11">
        <f t="shared" si="4"/>
        <v>6140.3508771929864</v>
      </c>
      <c r="F61" s="14">
        <f t="shared" si="0"/>
        <v>1.7056530214424963</v>
      </c>
      <c r="G61" s="6"/>
      <c r="H61" s="115">
        <f t="shared" si="1"/>
        <v>85.499999999999943</v>
      </c>
      <c r="I61" s="115">
        <f t="shared" si="5"/>
        <v>427.49999999999972</v>
      </c>
      <c r="J61" s="115">
        <f t="shared" si="6"/>
        <v>2600.6249999999982</v>
      </c>
      <c r="K61" s="115">
        <f t="shared" si="7"/>
        <v>20519.999999999985</v>
      </c>
      <c r="L61" s="6"/>
      <c r="M61" s="11">
        <f t="shared" si="8"/>
        <v>58.479532163742732</v>
      </c>
    </row>
    <row r="62" spans="1:13">
      <c r="A62" s="115">
        <f t="shared" ref="A62:A125" si="11">A61+0.1</f>
        <v>5.7999999999999954</v>
      </c>
      <c r="B62" s="11">
        <f t="shared" ref="B62:B111" si="12">$B$3/A62</f>
        <v>25.143678160919556</v>
      </c>
      <c r="C62" s="13">
        <f t="shared" ref="C62:C111" si="13">B62*5</f>
        <v>125.71839080459779</v>
      </c>
      <c r="D62" s="11">
        <f t="shared" ref="D62:D111" si="14">E62/12</f>
        <v>502.87356321839115</v>
      </c>
      <c r="E62" s="11">
        <f t="shared" ref="E62:E111" si="15">C62*48</f>
        <v>6034.4827586206939</v>
      </c>
      <c r="F62" s="14">
        <f t="shared" ref="F62:F111" si="16">B62/$I$2</f>
        <v>1.6762452107279704</v>
      </c>
      <c r="G62" s="6"/>
      <c r="H62" s="115">
        <f t="shared" ref="H62:H111" si="17">A62*$I$2</f>
        <v>86.999999999999929</v>
      </c>
      <c r="I62" s="115">
        <f t="shared" ref="I62:I111" si="18">H62*5</f>
        <v>434.99999999999966</v>
      </c>
      <c r="J62" s="115">
        <f t="shared" ref="J62:J111" si="19">H62*365/12</f>
        <v>2646.2499999999977</v>
      </c>
      <c r="K62" s="115">
        <f t="shared" ref="K62:K111" si="20">I62*48</f>
        <v>20879.999999999985</v>
      </c>
      <c r="L62" s="6"/>
      <c r="M62" s="11">
        <f t="shared" ref="M62:M111" si="21">$H$1/H62</f>
        <v>57.47126436781614</v>
      </c>
    </row>
    <row r="63" spans="1:13">
      <c r="A63" s="115">
        <f t="shared" si="11"/>
        <v>5.899999999999995</v>
      </c>
      <c r="B63" s="11">
        <f t="shared" si="12"/>
        <v>24.717514124293803</v>
      </c>
      <c r="C63" s="13">
        <f t="shared" si="13"/>
        <v>123.58757062146901</v>
      </c>
      <c r="D63" s="11">
        <f t="shared" si="14"/>
        <v>494.35028248587605</v>
      </c>
      <c r="E63" s="11">
        <f t="shared" si="15"/>
        <v>5932.2033898305126</v>
      </c>
      <c r="F63" s="14">
        <f t="shared" si="16"/>
        <v>1.6478342749529202</v>
      </c>
      <c r="G63" s="6"/>
      <c r="H63" s="115">
        <f t="shared" si="17"/>
        <v>88.499999999999929</v>
      </c>
      <c r="I63" s="115">
        <f t="shared" si="18"/>
        <v>442.49999999999966</v>
      </c>
      <c r="J63" s="115">
        <f t="shared" si="19"/>
        <v>2691.8749999999977</v>
      </c>
      <c r="K63" s="115">
        <f t="shared" si="20"/>
        <v>21239.999999999985</v>
      </c>
      <c r="L63" s="6"/>
      <c r="M63" s="11">
        <f t="shared" si="21"/>
        <v>56.497175141242984</v>
      </c>
    </row>
    <row r="64" spans="1:13">
      <c r="A64" s="115">
        <f t="shared" si="11"/>
        <v>5.9999999999999947</v>
      </c>
      <c r="B64" s="11">
        <f t="shared" si="12"/>
        <v>24.305555555555575</v>
      </c>
      <c r="C64" s="13">
        <f t="shared" si="13"/>
        <v>121.52777777777787</v>
      </c>
      <c r="D64" s="11">
        <f t="shared" si="14"/>
        <v>486.11111111111148</v>
      </c>
      <c r="E64" s="11">
        <f t="shared" si="15"/>
        <v>5833.3333333333376</v>
      </c>
      <c r="F64" s="14">
        <f t="shared" si="16"/>
        <v>1.6203703703703716</v>
      </c>
      <c r="G64" s="6"/>
      <c r="H64" s="115">
        <f t="shared" si="17"/>
        <v>89.999999999999915</v>
      </c>
      <c r="I64" s="115">
        <f t="shared" si="18"/>
        <v>449.99999999999955</v>
      </c>
      <c r="J64" s="115">
        <f t="shared" si="19"/>
        <v>2737.4999999999977</v>
      </c>
      <c r="K64" s="115">
        <f t="shared" si="20"/>
        <v>21599.999999999978</v>
      </c>
      <c r="L64" s="6"/>
      <c r="M64" s="11">
        <f t="shared" si="21"/>
        <v>55.555555555555607</v>
      </c>
    </row>
    <row r="65" spans="1:13">
      <c r="A65" s="115">
        <f t="shared" si="11"/>
        <v>6.0999999999999943</v>
      </c>
      <c r="B65" s="11">
        <f t="shared" si="12"/>
        <v>23.90710382513663</v>
      </c>
      <c r="C65" s="13">
        <f t="shared" si="13"/>
        <v>119.53551912568315</v>
      </c>
      <c r="D65" s="11">
        <f t="shared" si="14"/>
        <v>478.14207650273261</v>
      </c>
      <c r="E65" s="11">
        <f t="shared" si="15"/>
        <v>5737.7049180327913</v>
      </c>
      <c r="F65" s="14">
        <f t="shared" si="16"/>
        <v>1.5938069216757753</v>
      </c>
      <c r="G65" s="6"/>
      <c r="H65" s="115">
        <f t="shared" si="17"/>
        <v>91.499999999999915</v>
      </c>
      <c r="I65" s="115">
        <f t="shared" si="18"/>
        <v>457.49999999999955</v>
      </c>
      <c r="J65" s="115">
        <f t="shared" si="19"/>
        <v>2783.1249999999977</v>
      </c>
      <c r="K65" s="115">
        <f t="shared" si="20"/>
        <v>21959.999999999978</v>
      </c>
      <c r="L65" s="6"/>
      <c r="M65" s="11">
        <f t="shared" si="21"/>
        <v>54.644808743169449</v>
      </c>
    </row>
    <row r="66" spans="1:13">
      <c r="A66" s="115">
        <f t="shared" si="11"/>
        <v>6.199999999999994</v>
      </c>
      <c r="B66" s="11">
        <f t="shared" si="12"/>
        <v>23.521505376344106</v>
      </c>
      <c r="C66" s="13">
        <f t="shared" si="13"/>
        <v>117.60752688172053</v>
      </c>
      <c r="D66" s="11">
        <f t="shared" si="14"/>
        <v>470.43010752688207</v>
      </c>
      <c r="E66" s="11">
        <f t="shared" si="15"/>
        <v>5645.161290322585</v>
      </c>
      <c r="F66" s="14">
        <f t="shared" si="16"/>
        <v>1.5681003584229403</v>
      </c>
      <c r="G66" s="6"/>
      <c r="H66" s="115">
        <f t="shared" si="17"/>
        <v>92.999999999999915</v>
      </c>
      <c r="I66" s="115">
        <f t="shared" si="18"/>
        <v>464.99999999999955</v>
      </c>
      <c r="J66" s="115">
        <f t="shared" si="19"/>
        <v>2828.7499999999977</v>
      </c>
      <c r="K66" s="115">
        <f t="shared" si="20"/>
        <v>22319.999999999978</v>
      </c>
      <c r="L66" s="6"/>
      <c r="M66" s="11">
        <f t="shared" si="21"/>
        <v>53.763440860215105</v>
      </c>
    </row>
    <row r="67" spans="1:13">
      <c r="A67" s="115">
        <f t="shared" si="11"/>
        <v>6.2999999999999936</v>
      </c>
      <c r="B67" s="11">
        <f t="shared" si="12"/>
        <v>23.14814814814817</v>
      </c>
      <c r="C67" s="13">
        <f t="shared" si="13"/>
        <v>115.74074074074085</v>
      </c>
      <c r="D67" s="11">
        <f t="shared" si="14"/>
        <v>462.96296296296333</v>
      </c>
      <c r="E67" s="11">
        <f t="shared" si="15"/>
        <v>5555.5555555555602</v>
      </c>
      <c r="F67" s="14">
        <f t="shared" si="16"/>
        <v>1.5432098765432114</v>
      </c>
      <c r="G67" s="6"/>
      <c r="H67" s="115">
        <f t="shared" si="17"/>
        <v>94.499999999999901</v>
      </c>
      <c r="I67" s="115">
        <f t="shared" si="18"/>
        <v>472.49999999999949</v>
      </c>
      <c r="J67" s="115">
        <f t="shared" si="19"/>
        <v>2874.3749999999968</v>
      </c>
      <c r="K67" s="115">
        <f t="shared" si="20"/>
        <v>22679.999999999975</v>
      </c>
      <c r="L67" s="6"/>
      <c r="M67" s="11">
        <f t="shared" si="21"/>
        <v>52.910052910052968</v>
      </c>
    </row>
    <row r="68" spans="1:13">
      <c r="A68" s="115">
        <f t="shared" si="11"/>
        <v>6.3999999999999932</v>
      </c>
      <c r="B68" s="11">
        <f t="shared" si="12"/>
        <v>22.786458333333353</v>
      </c>
      <c r="C68" s="13">
        <f t="shared" si="13"/>
        <v>113.93229166666677</v>
      </c>
      <c r="D68" s="11">
        <f t="shared" si="14"/>
        <v>455.72916666666714</v>
      </c>
      <c r="E68" s="11">
        <f t="shared" si="15"/>
        <v>5468.7500000000055</v>
      </c>
      <c r="F68" s="14">
        <f t="shared" si="16"/>
        <v>1.5190972222222237</v>
      </c>
      <c r="G68" s="6"/>
      <c r="H68" s="115">
        <f t="shared" si="17"/>
        <v>95.999999999999901</v>
      </c>
      <c r="I68" s="115">
        <f t="shared" si="18"/>
        <v>479.99999999999949</v>
      </c>
      <c r="J68" s="115">
        <f t="shared" si="19"/>
        <v>2919.9999999999968</v>
      </c>
      <c r="K68" s="115">
        <f t="shared" si="20"/>
        <v>23039.999999999975</v>
      </c>
      <c r="L68" s="6"/>
      <c r="M68" s="11">
        <f t="shared" si="21"/>
        <v>52.083333333333385</v>
      </c>
    </row>
    <row r="69" spans="1:13">
      <c r="A69" s="115">
        <f t="shared" si="11"/>
        <v>6.4999999999999929</v>
      </c>
      <c r="B69" s="11">
        <f t="shared" si="12"/>
        <v>22.435897435897459</v>
      </c>
      <c r="C69" s="13">
        <f t="shared" si="13"/>
        <v>112.1794871794873</v>
      </c>
      <c r="D69" s="11">
        <f t="shared" si="14"/>
        <v>448.71794871794918</v>
      </c>
      <c r="E69" s="11">
        <f t="shared" si="15"/>
        <v>5384.6153846153902</v>
      </c>
      <c r="F69" s="14">
        <f t="shared" si="16"/>
        <v>1.4957264957264973</v>
      </c>
      <c r="G69" s="6"/>
      <c r="H69" s="115">
        <f t="shared" si="17"/>
        <v>97.499999999999886</v>
      </c>
      <c r="I69" s="115">
        <f t="shared" si="18"/>
        <v>487.49999999999943</v>
      </c>
      <c r="J69" s="115">
        <f t="shared" si="19"/>
        <v>2965.6249999999964</v>
      </c>
      <c r="K69" s="115">
        <f t="shared" si="20"/>
        <v>23399.999999999971</v>
      </c>
      <c r="L69" s="6"/>
      <c r="M69" s="11">
        <f t="shared" si="21"/>
        <v>51.282051282051341</v>
      </c>
    </row>
    <row r="70" spans="1:13">
      <c r="A70" s="115">
        <f t="shared" si="11"/>
        <v>6.5999999999999925</v>
      </c>
      <c r="B70" s="11">
        <f t="shared" si="12"/>
        <v>22.095959595959616</v>
      </c>
      <c r="C70" s="13">
        <f t="shared" si="13"/>
        <v>110.47979797979808</v>
      </c>
      <c r="D70" s="11">
        <f t="shared" si="14"/>
        <v>441.91919191919231</v>
      </c>
      <c r="E70" s="11">
        <f t="shared" si="15"/>
        <v>5303.0303030303076</v>
      </c>
      <c r="F70" s="14">
        <f t="shared" si="16"/>
        <v>1.4730639730639745</v>
      </c>
      <c r="G70" s="6"/>
      <c r="H70" s="115">
        <f t="shared" si="17"/>
        <v>98.999999999999886</v>
      </c>
      <c r="I70" s="115">
        <f t="shared" si="18"/>
        <v>494.99999999999943</v>
      </c>
      <c r="J70" s="115">
        <f t="shared" si="19"/>
        <v>3011.2499999999964</v>
      </c>
      <c r="K70" s="115">
        <f t="shared" si="20"/>
        <v>23759.999999999971</v>
      </c>
      <c r="L70" s="6"/>
      <c r="M70" s="11">
        <f t="shared" si="21"/>
        <v>50.505050505050562</v>
      </c>
    </row>
    <row r="71" spans="1:13">
      <c r="A71" s="115">
        <f t="shared" si="11"/>
        <v>6.6999999999999922</v>
      </c>
      <c r="B71" s="11">
        <f t="shared" si="12"/>
        <v>21.76616915422888</v>
      </c>
      <c r="C71" s="13">
        <f t="shared" si="13"/>
        <v>108.8308457711444</v>
      </c>
      <c r="D71" s="11">
        <f t="shared" si="14"/>
        <v>435.32338308457764</v>
      </c>
      <c r="E71" s="11">
        <f t="shared" si="15"/>
        <v>5223.8805970149315</v>
      </c>
      <c r="F71" s="14">
        <f t="shared" si="16"/>
        <v>1.4510779436152588</v>
      </c>
      <c r="G71" s="6"/>
      <c r="H71" s="115">
        <f t="shared" si="17"/>
        <v>100.49999999999989</v>
      </c>
      <c r="I71" s="115">
        <f t="shared" si="18"/>
        <v>502.49999999999943</v>
      </c>
      <c r="J71" s="115">
        <f t="shared" si="19"/>
        <v>3056.8749999999964</v>
      </c>
      <c r="K71" s="115">
        <f t="shared" si="20"/>
        <v>24119.999999999971</v>
      </c>
      <c r="L71" s="6"/>
      <c r="M71" s="11">
        <f t="shared" si="21"/>
        <v>49.751243781094587</v>
      </c>
    </row>
    <row r="72" spans="1:13">
      <c r="A72" s="115">
        <f t="shared" si="11"/>
        <v>6.7999999999999918</v>
      </c>
      <c r="B72" s="11">
        <f t="shared" si="12"/>
        <v>21.446078431372573</v>
      </c>
      <c r="C72" s="13">
        <f t="shared" si="13"/>
        <v>107.23039215686286</v>
      </c>
      <c r="D72" s="11">
        <f t="shared" si="14"/>
        <v>428.92156862745145</v>
      </c>
      <c r="E72" s="11">
        <f t="shared" si="15"/>
        <v>5147.0588235294172</v>
      </c>
      <c r="F72" s="14">
        <f t="shared" si="16"/>
        <v>1.4297385620915048</v>
      </c>
      <c r="G72" s="6"/>
      <c r="H72" s="115">
        <f t="shared" si="17"/>
        <v>101.99999999999987</v>
      </c>
      <c r="I72" s="115">
        <f t="shared" si="18"/>
        <v>509.99999999999937</v>
      </c>
      <c r="J72" s="115">
        <f t="shared" si="19"/>
        <v>3102.4999999999964</v>
      </c>
      <c r="K72" s="115">
        <f t="shared" si="20"/>
        <v>24479.999999999971</v>
      </c>
      <c r="L72" s="6"/>
      <c r="M72" s="11">
        <f t="shared" si="21"/>
        <v>49.019607843137315</v>
      </c>
    </row>
    <row r="73" spans="1:13">
      <c r="A73" s="115">
        <f t="shared" si="11"/>
        <v>6.8999999999999915</v>
      </c>
      <c r="B73" s="11">
        <f t="shared" si="12"/>
        <v>21.135265700483114</v>
      </c>
      <c r="C73" s="13">
        <f t="shared" si="13"/>
        <v>105.67632850241557</v>
      </c>
      <c r="D73" s="11">
        <f t="shared" si="14"/>
        <v>422.70531400966229</v>
      </c>
      <c r="E73" s="11">
        <f t="shared" si="15"/>
        <v>5072.4637681159475</v>
      </c>
      <c r="F73" s="14">
        <f t="shared" si="16"/>
        <v>1.4090177133655408</v>
      </c>
      <c r="G73" s="6"/>
      <c r="H73" s="115">
        <f t="shared" si="17"/>
        <v>103.49999999999987</v>
      </c>
      <c r="I73" s="115">
        <f t="shared" si="18"/>
        <v>517.49999999999932</v>
      </c>
      <c r="J73" s="115">
        <f t="shared" si="19"/>
        <v>3148.1249999999964</v>
      </c>
      <c r="K73" s="115">
        <f t="shared" si="20"/>
        <v>24839.999999999967</v>
      </c>
      <c r="L73" s="6"/>
      <c r="M73" s="11">
        <f t="shared" si="21"/>
        <v>48.309178743961411</v>
      </c>
    </row>
    <row r="74" spans="1:13">
      <c r="A74" s="115">
        <f t="shared" si="11"/>
        <v>6.9999999999999911</v>
      </c>
      <c r="B74" s="11">
        <f t="shared" si="12"/>
        <v>20.833333333333357</v>
      </c>
      <c r="C74" s="13">
        <f t="shared" si="13"/>
        <v>104.16666666666679</v>
      </c>
      <c r="D74" s="11">
        <f t="shared" si="14"/>
        <v>416.66666666666714</v>
      </c>
      <c r="E74" s="11">
        <f t="shared" si="15"/>
        <v>5000.0000000000055</v>
      </c>
      <c r="F74" s="14">
        <f t="shared" si="16"/>
        <v>1.3888888888888904</v>
      </c>
      <c r="G74" s="6"/>
      <c r="H74" s="115">
        <f t="shared" si="17"/>
        <v>104.99999999999987</v>
      </c>
      <c r="I74" s="115">
        <f t="shared" si="18"/>
        <v>524.99999999999932</v>
      </c>
      <c r="J74" s="115">
        <f t="shared" si="19"/>
        <v>3193.7499999999964</v>
      </c>
      <c r="K74" s="115">
        <f t="shared" si="20"/>
        <v>25199.999999999967</v>
      </c>
      <c r="L74" s="6"/>
      <c r="M74" s="11">
        <f t="shared" si="21"/>
        <v>47.619047619047677</v>
      </c>
    </row>
    <row r="75" spans="1:13">
      <c r="A75" s="115">
        <f t="shared" si="11"/>
        <v>7.0999999999999908</v>
      </c>
      <c r="B75" s="11">
        <f t="shared" si="12"/>
        <v>20.539906103286409</v>
      </c>
      <c r="C75" s="13">
        <f t="shared" si="13"/>
        <v>102.69953051643205</v>
      </c>
      <c r="D75" s="11">
        <f t="shared" si="14"/>
        <v>410.79812206572819</v>
      </c>
      <c r="E75" s="11">
        <f t="shared" si="15"/>
        <v>4929.5774647887383</v>
      </c>
      <c r="F75" s="14">
        <f t="shared" si="16"/>
        <v>1.3693270735524272</v>
      </c>
      <c r="G75" s="6"/>
      <c r="H75" s="115">
        <f t="shared" si="17"/>
        <v>106.49999999999986</v>
      </c>
      <c r="I75" s="115">
        <f t="shared" si="18"/>
        <v>532.49999999999932</v>
      </c>
      <c r="J75" s="115">
        <f t="shared" si="19"/>
        <v>3239.3749999999959</v>
      </c>
      <c r="K75" s="115">
        <f t="shared" si="20"/>
        <v>25559.999999999967</v>
      </c>
      <c r="L75" s="6"/>
      <c r="M75" s="11">
        <f t="shared" si="21"/>
        <v>46.9483568075118</v>
      </c>
    </row>
    <row r="76" spans="1:13">
      <c r="A76" s="115">
        <f t="shared" si="11"/>
        <v>7.1999999999999904</v>
      </c>
      <c r="B76" s="11">
        <f t="shared" si="12"/>
        <v>20.254629629629655</v>
      </c>
      <c r="C76" s="13">
        <f t="shared" si="13"/>
        <v>101.27314814814827</v>
      </c>
      <c r="D76" s="11">
        <f t="shared" si="14"/>
        <v>405.09259259259306</v>
      </c>
      <c r="E76" s="11">
        <f t="shared" si="15"/>
        <v>4861.1111111111168</v>
      </c>
      <c r="F76" s="14">
        <f t="shared" si="16"/>
        <v>1.3503086419753103</v>
      </c>
      <c r="G76" s="6"/>
      <c r="H76" s="115">
        <f t="shared" si="17"/>
        <v>107.99999999999986</v>
      </c>
      <c r="I76" s="115">
        <f t="shared" si="18"/>
        <v>539.99999999999932</v>
      </c>
      <c r="J76" s="115">
        <f t="shared" si="19"/>
        <v>3284.9999999999959</v>
      </c>
      <c r="K76" s="115">
        <f t="shared" si="20"/>
        <v>25919.999999999967</v>
      </c>
      <c r="L76" s="6"/>
      <c r="M76" s="11">
        <f t="shared" si="21"/>
        <v>46.296296296296354</v>
      </c>
    </row>
    <row r="77" spans="1:13">
      <c r="A77" s="115">
        <f t="shared" si="11"/>
        <v>7.2999999999999901</v>
      </c>
      <c r="B77" s="11">
        <f t="shared" si="12"/>
        <v>19.977168949771713</v>
      </c>
      <c r="C77" s="13">
        <f t="shared" si="13"/>
        <v>99.88584474885856</v>
      </c>
      <c r="D77" s="11">
        <f t="shared" si="14"/>
        <v>399.54337899543424</v>
      </c>
      <c r="E77" s="11">
        <f t="shared" si="15"/>
        <v>4794.5205479452106</v>
      </c>
      <c r="F77" s="14">
        <f t="shared" si="16"/>
        <v>1.3318112633181143</v>
      </c>
      <c r="G77" s="6"/>
      <c r="H77" s="115">
        <f t="shared" si="17"/>
        <v>109.49999999999986</v>
      </c>
      <c r="I77" s="115">
        <f t="shared" si="18"/>
        <v>547.49999999999932</v>
      </c>
      <c r="J77" s="115">
        <f t="shared" si="19"/>
        <v>3330.6249999999959</v>
      </c>
      <c r="K77" s="115">
        <f t="shared" si="20"/>
        <v>26279.999999999967</v>
      </c>
      <c r="L77" s="6"/>
      <c r="M77" s="11">
        <f t="shared" si="21"/>
        <v>45.662100456621062</v>
      </c>
    </row>
    <row r="78" spans="1:13">
      <c r="A78" s="115">
        <f t="shared" si="11"/>
        <v>7.3999999999999897</v>
      </c>
      <c r="B78" s="11">
        <f t="shared" si="12"/>
        <v>19.707207207207233</v>
      </c>
      <c r="C78" s="13">
        <f t="shared" si="13"/>
        <v>98.536036036036165</v>
      </c>
      <c r="D78" s="11">
        <f t="shared" si="14"/>
        <v>394.1441441441446</v>
      </c>
      <c r="E78" s="11">
        <f t="shared" si="15"/>
        <v>4729.7297297297355</v>
      </c>
      <c r="F78" s="14">
        <f t="shared" si="16"/>
        <v>1.3138138138138156</v>
      </c>
      <c r="G78" s="6"/>
      <c r="H78" s="115">
        <f t="shared" si="17"/>
        <v>110.99999999999984</v>
      </c>
      <c r="I78" s="115">
        <f t="shared" si="18"/>
        <v>554.9999999999992</v>
      </c>
      <c r="J78" s="115">
        <f t="shared" si="19"/>
        <v>3376.249999999995</v>
      </c>
      <c r="K78" s="115">
        <f t="shared" si="20"/>
        <v>26639.999999999964</v>
      </c>
      <c r="L78" s="6"/>
      <c r="M78" s="11">
        <f t="shared" si="21"/>
        <v>45.045045045045107</v>
      </c>
    </row>
    <row r="79" spans="1:13">
      <c r="A79" s="115">
        <f t="shared" si="11"/>
        <v>7.4999999999999893</v>
      </c>
      <c r="B79" s="11">
        <f t="shared" si="12"/>
        <v>19.444444444444471</v>
      </c>
      <c r="C79" s="13">
        <f t="shared" si="13"/>
        <v>97.222222222222356</v>
      </c>
      <c r="D79" s="11">
        <f t="shared" si="14"/>
        <v>388.88888888888943</v>
      </c>
      <c r="E79" s="11">
        <f t="shared" si="15"/>
        <v>4666.6666666666733</v>
      </c>
      <c r="F79" s="14">
        <f t="shared" si="16"/>
        <v>1.2962962962962981</v>
      </c>
      <c r="G79" s="6"/>
      <c r="H79" s="115">
        <f t="shared" si="17"/>
        <v>112.49999999999984</v>
      </c>
      <c r="I79" s="115">
        <f t="shared" si="18"/>
        <v>562.4999999999992</v>
      </c>
      <c r="J79" s="115">
        <f t="shared" si="19"/>
        <v>3421.874999999995</v>
      </c>
      <c r="K79" s="115">
        <f t="shared" si="20"/>
        <v>26999.999999999964</v>
      </c>
      <c r="L79" s="6"/>
      <c r="M79" s="11">
        <f t="shared" si="21"/>
        <v>44.444444444444507</v>
      </c>
    </row>
    <row r="80" spans="1:13">
      <c r="A80" s="115">
        <f t="shared" si="11"/>
        <v>7.599999999999989</v>
      </c>
      <c r="B80" s="11">
        <f t="shared" si="12"/>
        <v>19.188596491228097</v>
      </c>
      <c r="C80" s="13">
        <f t="shared" si="13"/>
        <v>95.942982456140484</v>
      </c>
      <c r="D80" s="11">
        <f t="shared" si="14"/>
        <v>383.77192982456194</v>
      </c>
      <c r="E80" s="11">
        <f t="shared" si="15"/>
        <v>4605.263157894743</v>
      </c>
      <c r="F80" s="14">
        <f t="shared" si="16"/>
        <v>1.2792397660818731</v>
      </c>
      <c r="G80" s="6"/>
      <c r="H80" s="115">
        <f t="shared" si="17"/>
        <v>113.99999999999983</v>
      </c>
      <c r="I80" s="115">
        <f t="shared" si="18"/>
        <v>569.99999999999909</v>
      </c>
      <c r="J80" s="115">
        <f t="shared" si="19"/>
        <v>3467.4999999999945</v>
      </c>
      <c r="K80" s="115">
        <f t="shared" si="20"/>
        <v>27359.999999999956</v>
      </c>
      <c r="L80" s="6"/>
      <c r="M80" s="11">
        <f t="shared" si="21"/>
        <v>43.859649122807085</v>
      </c>
    </row>
    <row r="81" spans="1:13">
      <c r="A81" s="115">
        <f t="shared" si="11"/>
        <v>7.6999999999999886</v>
      </c>
      <c r="B81" s="11">
        <f t="shared" si="12"/>
        <v>18.939393939393966</v>
      </c>
      <c r="C81" s="13">
        <f t="shared" si="13"/>
        <v>94.69696969696983</v>
      </c>
      <c r="D81" s="11">
        <f t="shared" si="14"/>
        <v>378.78787878787927</v>
      </c>
      <c r="E81" s="11">
        <f t="shared" si="15"/>
        <v>4545.4545454545514</v>
      </c>
      <c r="F81" s="14">
        <f t="shared" si="16"/>
        <v>1.2626262626262643</v>
      </c>
      <c r="G81" s="6"/>
      <c r="H81" s="115">
        <f t="shared" si="17"/>
        <v>115.49999999999983</v>
      </c>
      <c r="I81" s="115">
        <f t="shared" si="18"/>
        <v>577.49999999999909</v>
      </c>
      <c r="J81" s="115">
        <f t="shared" si="19"/>
        <v>3513.1249999999945</v>
      </c>
      <c r="K81" s="115">
        <f t="shared" si="20"/>
        <v>27719.999999999956</v>
      </c>
      <c r="L81" s="6"/>
      <c r="M81" s="11">
        <f t="shared" si="21"/>
        <v>43.290043290043357</v>
      </c>
    </row>
    <row r="82" spans="1:13">
      <c r="A82" s="115">
        <f t="shared" si="11"/>
        <v>7.7999999999999883</v>
      </c>
      <c r="B82" s="11">
        <f t="shared" si="12"/>
        <v>18.696581196581221</v>
      </c>
      <c r="C82" s="13">
        <f t="shared" si="13"/>
        <v>93.482905982906104</v>
      </c>
      <c r="D82" s="11">
        <f t="shared" si="14"/>
        <v>373.93162393162442</v>
      </c>
      <c r="E82" s="11">
        <f t="shared" si="15"/>
        <v>4487.1794871794928</v>
      </c>
      <c r="F82" s="14">
        <f t="shared" si="16"/>
        <v>1.2464387464387481</v>
      </c>
      <c r="G82" s="6"/>
      <c r="H82" s="115">
        <f t="shared" si="17"/>
        <v>116.99999999999983</v>
      </c>
      <c r="I82" s="115">
        <f t="shared" si="18"/>
        <v>584.99999999999909</v>
      </c>
      <c r="J82" s="115">
        <f t="shared" si="19"/>
        <v>3558.7499999999945</v>
      </c>
      <c r="K82" s="115">
        <f t="shared" si="20"/>
        <v>28079.999999999956</v>
      </c>
      <c r="L82" s="6"/>
      <c r="M82" s="11">
        <f t="shared" si="21"/>
        <v>42.735042735042796</v>
      </c>
    </row>
    <row r="83" spans="1:13">
      <c r="A83" s="115">
        <f t="shared" si="11"/>
        <v>7.8999999999999879</v>
      </c>
      <c r="B83" s="11">
        <f t="shared" si="12"/>
        <v>18.45991561181437</v>
      </c>
      <c r="C83" s="13">
        <f t="shared" si="13"/>
        <v>92.299578059071848</v>
      </c>
      <c r="D83" s="11">
        <f t="shared" si="14"/>
        <v>369.19831223628739</v>
      </c>
      <c r="E83" s="11">
        <f t="shared" si="15"/>
        <v>4430.3797468354487</v>
      </c>
      <c r="F83" s="14">
        <f t="shared" si="16"/>
        <v>1.2306610407876246</v>
      </c>
      <c r="G83" s="6"/>
      <c r="H83" s="115">
        <f t="shared" si="17"/>
        <v>118.49999999999982</v>
      </c>
      <c r="I83" s="115">
        <f t="shared" si="18"/>
        <v>592.49999999999909</v>
      </c>
      <c r="J83" s="115">
        <f t="shared" si="19"/>
        <v>3604.3749999999945</v>
      </c>
      <c r="K83" s="115">
        <f t="shared" si="20"/>
        <v>28439.999999999956</v>
      </c>
      <c r="L83" s="6"/>
      <c r="M83" s="11">
        <f t="shared" si="21"/>
        <v>42.194092827004283</v>
      </c>
    </row>
    <row r="84" spans="1:13">
      <c r="A84" s="115">
        <f t="shared" si="11"/>
        <v>7.9999999999999876</v>
      </c>
      <c r="B84" s="11">
        <f t="shared" si="12"/>
        <v>18.229166666666693</v>
      </c>
      <c r="C84" s="13">
        <f t="shared" si="13"/>
        <v>91.145833333333456</v>
      </c>
      <c r="D84" s="11">
        <f t="shared" si="14"/>
        <v>364.58333333333377</v>
      </c>
      <c r="E84" s="11">
        <f t="shared" si="15"/>
        <v>4375.0000000000055</v>
      </c>
      <c r="F84" s="14">
        <f t="shared" si="16"/>
        <v>1.2152777777777795</v>
      </c>
      <c r="G84" s="6"/>
      <c r="H84" s="115">
        <f t="shared" si="17"/>
        <v>119.99999999999982</v>
      </c>
      <c r="I84" s="115">
        <f t="shared" si="18"/>
        <v>599.99999999999909</v>
      </c>
      <c r="J84" s="115">
        <f t="shared" si="19"/>
        <v>3649.9999999999945</v>
      </c>
      <c r="K84" s="115">
        <f t="shared" si="20"/>
        <v>28799.999999999956</v>
      </c>
      <c r="L84" s="6"/>
      <c r="M84" s="11">
        <f t="shared" si="21"/>
        <v>41.666666666666728</v>
      </c>
    </row>
    <row r="85" spans="1:13">
      <c r="A85" s="115">
        <f t="shared" si="11"/>
        <v>8.0999999999999872</v>
      </c>
      <c r="B85" s="11">
        <f t="shared" si="12"/>
        <v>18.004115226337476</v>
      </c>
      <c r="C85" s="13">
        <f t="shared" si="13"/>
        <v>90.020576131687378</v>
      </c>
      <c r="D85" s="11">
        <f t="shared" si="14"/>
        <v>360.08230452674951</v>
      </c>
      <c r="E85" s="11">
        <f t="shared" si="15"/>
        <v>4320.9876543209939</v>
      </c>
      <c r="F85" s="14">
        <f t="shared" si="16"/>
        <v>1.2002743484224985</v>
      </c>
      <c r="G85" s="6"/>
      <c r="H85" s="115">
        <f t="shared" si="17"/>
        <v>121.4999999999998</v>
      </c>
      <c r="I85" s="115">
        <f t="shared" si="18"/>
        <v>607.49999999999898</v>
      </c>
      <c r="J85" s="115">
        <f t="shared" si="19"/>
        <v>3695.6249999999941</v>
      </c>
      <c r="K85" s="115">
        <f t="shared" si="20"/>
        <v>29159.999999999949</v>
      </c>
      <c r="L85" s="6"/>
      <c r="M85" s="11">
        <f t="shared" si="21"/>
        <v>41.152263374485663</v>
      </c>
    </row>
    <row r="86" spans="1:13">
      <c r="A86" s="115">
        <f t="shared" si="11"/>
        <v>8.1999999999999869</v>
      </c>
      <c r="B86" s="11">
        <f t="shared" si="12"/>
        <v>17.784552845528481</v>
      </c>
      <c r="C86" s="13">
        <f t="shared" si="13"/>
        <v>88.922764227642404</v>
      </c>
      <c r="D86" s="11">
        <f t="shared" si="14"/>
        <v>355.69105691056961</v>
      </c>
      <c r="E86" s="11">
        <f t="shared" si="15"/>
        <v>4268.2926829268354</v>
      </c>
      <c r="F86" s="14">
        <f t="shared" si="16"/>
        <v>1.1856368563685653</v>
      </c>
      <c r="G86" s="6"/>
      <c r="H86" s="115">
        <f t="shared" si="17"/>
        <v>122.9999999999998</v>
      </c>
      <c r="I86" s="115">
        <f t="shared" si="18"/>
        <v>614.99999999999898</v>
      </c>
      <c r="J86" s="115">
        <f t="shared" si="19"/>
        <v>3741.2499999999941</v>
      </c>
      <c r="K86" s="115">
        <f t="shared" si="20"/>
        <v>29519.999999999949</v>
      </c>
      <c r="L86" s="6"/>
      <c r="M86" s="11">
        <f t="shared" si="21"/>
        <v>40.65040650406511</v>
      </c>
    </row>
    <row r="87" spans="1:13">
      <c r="A87" s="115">
        <f t="shared" si="11"/>
        <v>8.2999999999999865</v>
      </c>
      <c r="B87" s="11">
        <f t="shared" si="12"/>
        <v>17.570281124498017</v>
      </c>
      <c r="C87" s="13">
        <f t="shared" si="13"/>
        <v>87.851405622490091</v>
      </c>
      <c r="D87" s="11">
        <f t="shared" si="14"/>
        <v>351.40562248996031</v>
      </c>
      <c r="E87" s="11">
        <f t="shared" si="15"/>
        <v>4216.8674698795239</v>
      </c>
      <c r="F87" s="14">
        <f t="shared" si="16"/>
        <v>1.1713520749665345</v>
      </c>
      <c r="G87" s="6"/>
      <c r="H87" s="115">
        <f t="shared" si="17"/>
        <v>124.4999999999998</v>
      </c>
      <c r="I87" s="115">
        <f t="shared" si="18"/>
        <v>622.49999999999898</v>
      </c>
      <c r="J87" s="115">
        <f t="shared" si="19"/>
        <v>3786.8749999999941</v>
      </c>
      <c r="K87" s="115">
        <f t="shared" si="20"/>
        <v>29879.999999999949</v>
      </c>
      <c r="L87" s="6"/>
      <c r="M87" s="11">
        <f t="shared" si="21"/>
        <v>40.16064257028119</v>
      </c>
    </row>
    <row r="88" spans="1:13">
      <c r="A88" s="115">
        <f t="shared" si="11"/>
        <v>8.3999999999999861</v>
      </c>
      <c r="B88" s="11">
        <f t="shared" si="12"/>
        <v>17.361111111111139</v>
      </c>
      <c r="C88" s="13">
        <f t="shared" si="13"/>
        <v>86.805555555555699</v>
      </c>
      <c r="D88" s="11">
        <f t="shared" si="14"/>
        <v>347.2222222222228</v>
      </c>
      <c r="E88" s="11">
        <f t="shared" si="15"/>
        <v>4166.6666666666733</v>
      </c>
      <c r="F88" s="14">
        <f t="shared" si="16"/>
        <v>1.1574074074074092</v>
      </c>
      <c r="G88" s="6"/>
      <c r="H88" s="115">
        <f t="shared" si="17"/>
        <v>125.99999999999979</v>
      </c>
      <c r="I88" s="115">
        <f t="shared" si="18"/>
        <v>629.99999999999898</v>
      </c>
      <c r="J88" s="115">
        <f t="shared" si="19"/>
        <v>3832.4999999999932</v>
      </c>
      <c r="K88" s="115">
        <f t="shared" si="20"/>
        <v>30239.999999999949</v>
      </c>
      <c r="L88" s="6"/>
      <c r="M88" s="11">
        <f t="shared" si="21"/>
        <v>39.682539682539748</v>
      </c>
    </row>
    <row r="89" spans="1:13">
      <c r="A89" s="115">
        <f t="shared" si="11"/>
        <v>8.4999999999999858</v>
      </c>
      <c r="B89" s="11">
        <f t="shared" si="12"/>
        <v>17.156862745098067</v>
      </c>
      <c r="C89" s="13">
        <f t="shared" si="13"/>
        <v>85.784313725490335</v>
      </c>
      <c r="D89" s="11">
        <f t="shared" si="14"/>
        <v>343.13725490196134</v>
      </c>
      <c r="E89" s="11">
        <f t="shared" si="15"/>
        <v>4117.6470588235361</v>
      </c>
      <c r="F89" s="14">
        <f t="shared" si="16"/>
        <v>1.1437908496732045</v>
      </c>
      <c r="G89" s="6"/>
      <c r="H89" s="115">
        <f t="shared" si="17"/>
        <v>127.49999999999979</v>
      </c>
      <c r="I89" s="115">
        <f t="shared" si="18"/>
        <v>637.49999999999898</v>
      </c>
      <c r="J89" s="115">
        <f t="shared" si="19"/>
        <v>3878.1249999999932</v>
      </c>
      <c r="K89" s="115">
        <f t="shared" si="20"/>
        <v>30599.999999999949</v>
      </c>
      <c r="L89" s="6"/>
      <c r="M89" s="11">
        <f t="shared" si="21"/>
        <v>39.215686274509871</v>
      </c>
    </row>
    <row r="90" spans="1:13">
      <c r="A90" s="115">
        <f t="shared" si="11"/>
        <v>8.5999999999999854</v>
      </c>
      <c r="B90" s="11">
        <f t="shared" si="12"/>
        <v>16.957364341085299</v>
      </c>
      <c r="C90" s="13">
        <f t="shared" si="13"/>
        <v>84.78682170542649</v>
      </c>
      <c r="D90" s="11">
        <f t="shared" si="14"/>
        <v>339.14728682170596</v>
      </c>
      <c r="E90" s="11">
        <f t="shared" si="15"/>
        <v>4069.7674418604715</v>
      </c>
      <c r="F90" s="14">
        <f t="shared" si="16"/>
        <v>1.1304909560723533</v>
      </c>
      <c r="G90" s="6"/>
      <c r="H90" s="115">
        <f t="shared" si="17"/>
        <v>128.99999999999977</v>
      </c>
      <c r="I90" s="115">
        <f t="shared" si="18"/>
        <v>644.99999999999886</v>
      </c>
      <c r="J90" s="115">
        <f t="shared" si="19"/>
        <v>3923.7499999999932</v>
      </c>
      <c r="K90" s="115">
        <f t="shared" si="20"/>
        <v>30959.999999999945</v>
      </c>
      <c r="L90" s="6"/>
      <c r="M90" s="11">
        <f t="shared" si="21"/>
        <v>38.759689922480689</v>
      </c>
    </row>
    <row r="91" spans="1:13">
      <c r="A91" s="115">
        <f t="shared" si="11"/>
        <v>8.6999999999999851</v>
      </c>
      <c r="B91" s="11">
        <f t="shared" si="12"/>
        <v>16.762452107279721</v>
      </c>
      <c r="C91" s="13">
        <f t="shared" si="13"/>
        <v>83.812260536398611</v>
      </c>
      <c r="D91" s="11">
        <f t="shared" si="14"/>
        <v>335.24904214559444</v>
      </c>
      <c r="E91" s="11">
        <f t="shared" si="15"/>
        <v>4022.9885057471333</v>
      </c>
      <c r="F91" s="14">
        <f t="shared" si="16"/>
        <v>1.1174968071519813</v>
      </c>
      <c r="G91" s="6"/>
      <c r="H91" s="115">
        <f t="shared" si="17"/>
        <v>130.49999999999977</v>
      </c>
      <c r="I91" s="115">
        <f t="shared" si="18"/>
        <v>652.49999999999886</v>
      </c>
      <c r="J91" s="115">
        <f t="shared" si="19"/>
        <v>3969.3749999999932</v>
      </c>
      <c r="K91" s="115">
        <f t="shared" si="20"/>
        <v>31319.999999999945</v>
      </c>
      <c r="L91" s="6"/>
      <c r="M91" s="11">
        <f t="shared" si="21"/>
        <v>38.314176245210795</v>
      </c>
    </row>
    <row r="92" spans="1:13">
      <c r="A92" s="115">
        <f t="shared" si="11"/>
        <v>8.7999999999999847</v>
      </c>
      <c r="B92" s="11">
        <f t="shared" si="12"/>
        <v>16.571969696969724</v>
      </c>
      <c r="C92" s="13">
        <f t="shared" si="13"/>
        <v>82.859848484848612</v>
      </c>
      <c r="D92" s="11">
        <f t="shared" si="14"/>
        <v>331.43939393939445</v>
      </c>
      <c r="E92" s="11">
        <f t="shared" si="15"/>
        <v>3977.2727272727334</v>
      </c>
      <c r="F92" s="14">
        <f t="shared" si="16"/>
        <v>1.1047979797979817</v>
      </c>
      <c r="G92" s="6"/>
      <c r="H92" s="115">
        <f t="shared" si="17"/>
        <v>131.99999999999977</v>
      </c>
      <c r="I92" s="115">
        <f t="shared" si="18"/>
        <v>659.99999999999886</v>
      </c>
      <c r="J92" s="115">
        <f t="shared" si="19"/>
        <v>4014.9999999999932</v>
      </c>
      <c r="K92" s="115">
        <f t="shared" si="20"/>
        <v>31679.999999999945</v>
      </c>
      <c r="L92" s="6"/>
      <c r="M92" s="11">
        <f t="shared" si="21"/>
        <v>37.878787878787946</v>
      </c>
    </row>
    <row r="93" spans="1:13">
      <c r="A93" s="115">
        <f t="shared" si="11"/>
        <v>8.8999999999999844</v>
      </c>
      <c r="B93" s="11">
        <f t="shared" si="12"/>
        <v>16.3857677902622</v>
      </c>
      <c r="C93" s="13">
        <f t="shared" si="13"/>
        <v>81.928838951311008</v>
      </c>
      <c r="D93" s="11">
        <f t="shared" si="14"/>
        <v>327.71535580524403</v>
      </c>
      <c r="E93" s="11">
        <f t="shared" si="15"/>
        <v>3932.5842696629284</v>
      </c>
      <c r="F93" s="14">
        <f t="shared" si="16"/>
        <v>1.0923845193508133</v>
      </c>
      <c r="G93" s="6"/>
      <c r="H93" s="115">
        <f t="shared" si="17"/>
        <v>133.49999999999977</v>
      </c>
      <c r="I93" s="115">
        <f t="shared" si="18"/>
        <v>667.49999999999886</v>
      </c>
      <c r="J93" s="115">
        <f t="shared" si="19"/>
        <v>4060.6249999999932</v>
      </c>
      <c r="K93" s="115">
        <f t="shared" si="20"/>
        <v>32039.999999999945</v>
      </c>
      <c r="L93" s="6"/>
      <c r="M93" s="11">
        <f t="shared" si="21"/>
        <v>37.453183520599318</v>
      </c>
    </row>
    <row r="94" spans="1:13">
      <c r="A94" s="115">
        <f t="shared" si="11"/>
        <v>8.999999999999984</v>
      </c>
      <c r="B94" s="11">
        <f t="shared" si="12"/>
        <v>16.203703703703731</v>
      </c>
      <c r="C94" s="13">
        <f t="shared" si="13"/>
        <v>81.018518518518647</v>
      </c>
      <c r="D94" s="11">
        <f t="shared" si="14"/>
        <v>324.07407407407459</v>
      </c>
      <c r="E94" s="11">
        <f t="shared" si="15"/>
        <v>3888.8888888888951</v>
      </c>
      <c r="F94" s="14">
        <f t="shared" si="16"/>
        <v>1.0802469135802488</v>
      </c>
      <c r="G94" s="6"/>
      <c r="H94" s="115">
        <f t="shared" si="17"/>
        <v>134.99999999999977</v>
      </c>
      <c r="I94" s="115">
        <f t="shared" si="18"/>
        <v>674.99999999999886</v>
      </c>
      <c r="J94" s="115">
        <f t="shared" si="19"/>
        <v>4106.2499999999936</v>
      </c>
      <c r="K94" s="115">
        <f t="shared" si="20"/>
        <v>32399.999999999945</v>
      </c>
      <c r="L94" s="6"/>
      <c r="M94" s="11">
        <f t="shared" si="21"/>
        <v>37.037037037037102</v>
      </c>
    </row>
    <row r="95" spans="1:13">
      <c r="A95" s="115">
        <f t="shared" si="11"/>
        <v>9.0999999999999837</v>
      </c>
      <c r="B95" s="11">
        <f t="shared" si="12"/>
        <v>16.025641025641054</v>
      </c>
      <c r="C95" s="13">
        <f t="shared" si="13"/>
        <v>80.128205128205266</v>
      </c>
      <c r="D95" s="11">
        <f t="shared" si="14"/>
        <v>320.51282051282107</v>
      </c>
      <c r="E95" s="11">
        <f t="shared" si="15"/>
        <v>3846.153846153853</v>
      </c>
      <c r="F95" s="14">
        <f t="shared" si="16"/>
        <v>1.0683760683760704</v>
      </c>
      <c r="G95" s="6"/>
      <c r="H95" s="115">
        <f t="shared" si="17"/>
        <v>136.49999999999974</v>
      </c>
      <c r="I95" s="115">
        <f t="shared" si="18"/>
        <v>682.49999999999875</v>
      </c>
      <c r="J95" s="115">
        <f t="shared" si="19"/>
        <v>4151.8749999999918</v>
      </c>
      <c r="K95" s="115">
        <f t="shared" si="20"/>
        <v>32759.999999999942</v>
      </c>
      <c r="L95" s="6"/>
      <c r="M95" s="11">
        <f t="shared" si="21"/>
        <v>36.630036630036699</v>
      </c>
    </row>
    <row r="96" spans="1:13">
      <c r="A96" s="115">
        <f t="shared" si="11"/>
        <v>9.1999999999999833</v>
      </c>
      <c r="B96" s="11">
        <f t="shared" si="12"/>
        <v>15.851449275362345</v>
      </c>
      <c r="C96" s="13">
        <f t="shared" si="13"/>
        <v>79.257246376811722</v>
      </c>
      <c r="D96" s="11">
        <f t="shared" si="14"/>
        <v>317.02898550724689</v>
      </c>
      <c r="E96" s="11">
        <f t="shared" si="15"/>
        <v>3804.3478260869624</v>
      </c>
      <c r="F96" s="14">
        <f t="shared" si="16"/>
        <v>1.0567632850241564</v>
      </c>
      <c r="G96" s="6"/>
      <c r="H96" s="115">
        <f t="shared" si="17"/>
        <v>137.99999999999974</v>
      </c>
      <c r="I96" s="115">
        <f t="shared" si="18"/>
        <v>689.99999999999875</v>
      </c>
      <c r="J96" s="115">
        <f t="shared" si="19"/>
        <v>4197.4999999999918</v>
      </c>
      <c r="K96" s="115">
        <f t="shared" si="20"/>
        <v>33119.999999999942</v>
      </c>
      <c r="L96" s="6"/>
      <c r="M96" s="11">
        <f t="shared" si="21"/>
        <v>36.231884057971079</v>
      </c>
    </row>
    <row r="97" spans="1:13">
      <c r="A97" s="115">
        <f t="shared" si="11"/>
        <v>9.2999999999999829</v>
      </c>
      <c r="B97" s="11">
        <f t="shared" si="12"/>
        <v>15.681003584229417</v>
      </c>
      <c r="C97" s="13">
        <f t="shared" si="13"/>
        <v>78.405017921147092</v>
      </c>
      <c r="D97" s="11">
        <f t="shared" si="14"/>
        <v>313.62007168458837</v>
      </c>
      <c r="E97" s="11">
        <f t="shared" si="15"/>
        <v>3763.4408602150606</v>
      </c>
      <c r="F97" s="14">
        <f t="shared" si="16"/>
        <v>1.0454002389486279</v>
      </c>
      <c r="G97" s="6"/>
      <c r="H97" s="115">
        <f t="shared" si="17"/>
        <v>139.49999999999974</v>
      </c>
      <c r="I97" s="115">
        <f t="shared" si="18"/>
        <v>697.49999999999875</v>
      </c>
      <c r="J97" s="115">
        <f t="shared" si="19"/>
        <v>4243.1249999999918</v>
      </c>
      <c r="K97" s="115">
        <f t="shared" si="20"/>
        <v>33479.999999999942</v>
      </c>
      <c r="L97" s="6"/>
      <c r="M97" s="11">
        <f t="shared" si="21"/>
        <v>35.842293906810099</v>
      </c>
    </row>
    <row r="98" spans="1:13">
      <c r="A98" s="115">
        <f t="shared" si="11"/>
        <v>9.3999999999999826</v>
      </c>
      <c r="B98" s="11">
        <f t="shared" si="12"/>
        <v>15.514184397163147</v>
      </c>
      <c r="C98" s="13">
        <f t="shared" si="13"/>
        <v>77.57092198581573</v>
      </c>
      <c r="D98" s="11">
        <f t="shared" si="14"/>
        <v>310.28368794326292</v>
      </c>
      <c r="E98" s="11">
        <f t="shared" si="15"/>
        <v>3723.4042553191548</v>
      </c>
      <c r="F98" s="14">
        <f t="shared" si="16"/>
        <v>1.0342789598108764</v>
      </c>
      <c r="G98" s="6"/>
      <c r="H98" s="115">
        <f t="shared" si="17"/>
        <v>140.99999999999974</v>
      </c>
      <c r="I98" s="115">
        <f t="shared" si="18"/>
        <v>704.99999999999875</v>
      </c>
      <c r="J98" s="115">
        <f t="shared" si="19"/>
        <v>4288.7499999999918</v>
      </c>
      <c r="K98" s="115">
        <f t="shared" si="20"/>
        <v>33839.999999999942</v>
      </c>
      <c r="L98" s="6"/>
      <c r="M98" s="11">
        <f t="shared" si="21"/>
        <v>35.460992907801483</v>
      </c>
    </row>
    <row r="99" spans="1:13">
      <c r="A99" s="115">
        <f t="shared" si="11"/>
        <v>9.4999999999999822</v>
      </c>
      <c r="B99" s="11">
        <f t="shared" si="12"/>
        <v>15.350877192982482</v>
      </c>
      <c r="C99" s="13">
        <f t="shared" si="13"/>
        <v>76.754385964912416</v>
      </c>
      <c r="D99" s="11">
        <f t="shared" si="14"/>
        <v>307.01754385964966</v>
      </c>
      <c r="E99" s="11">
        <f t="shared" si="15"/>
        <v>3684.210526315796</v>
      </c>
      <c r="F99" s="14">
        <f t="shared" si="16"/>
        <v>1.0233918128654989</v>
      </c>
      <c r="G99" s="6"/>
      <c r="H99" s="115">
        <f t="shared" si="17"/>
        <v>142.49999999999974</v>
      </c>
      <c r="I99" s="115">
        <f t="shared" si="18"/>
        <v>712.49999999999875</v>
      </c>
      <c r="J99" s="115">
        <f t="shared" si="19"/>
        <v>4334.3749999999918</v>
      </c>
      <c r="K99" s="115">
        <f t="shared" si="20"/>
        <v>34199.999999999942</v>
      </c>
      <c r="L99" s="6"/>
      <c r="M99" s="11">
        <f t="shared" si="21"/>
        <v>35.08771929824568</v>
      </c>
    </row>
    <row r="100" spans="1:13">
      <c r="A100" s="115">
        <f t="shared" si="11"/>
        <v>9.5999999999999819</v>
      </c>
      <c r="B100" s="11">
        <f t="shared" si="12"/>
        <v>15.190972222222248</v>
      </c>
      <c r="C100" s="13">
        <f t="shared" si="13"/>
        <v>75.954861111111242</v>
      </c>
      <c r="D100" s="11">
        <f t="shared" si="14"/>
        <v>303.81944444444497</v>
      </c>
      <c r="E100" s="11">
        <f t="shared" si="15"/>
        <v>3645.8333333333394</v>
      </c>
      <c r="F100" s="14">
        <f t="shared" si="16"/>
        <v>1.0127314814814832</v>
      </c>
      <c r="G100" s="6"/>
      <c r="H100" s="115">
        <f t="shared" si="17"/>
        <v>143.99999999999972</v>
      </c>
      <c r="I100" s="115">
        <f t="shared" si="18"/>
        <v>719.99999999999864</v>
      </c>
      <c r="J100" s="115">
        <f t="shared" si="19"/>
        <v>4379.9999999999918</v>
      </c>
      <c r="K100" s="115">
        <f t="shared" si="20"/>
        <v>34559.999999999935</v>
      </c>
      <c r="L100" s="6"/>
      <c r="M100" s="11">
        <f t="shared" si="21"/>
        <v>34.722222222222292</v>
      </c>
    </row>
    <row r="101" spans="1:13">
      <c r="A101" s="115">
        <f t="shared" si="11"/>
        <v>9.6999999999999815</v>
      </c>
      <c r="B101" s="11">
        <f t="shared" si="12"/>
        <v>15.034364261168411</v>
      </c>
      <c r="C101" s="13">
        <f t="shared" si="13"/>
        <v>75.171821305842059</v>
      </c>
      <c r="D101" s="11">
        <f t="shared" si="14"/>
        <v>300.68728522336824</v>
      </c>
      <c r="E101" s="11">
        <f t="shared" si="15"/>
        <v>3608.2474226804188</v>
      </c>
      <c r="F101" s="14">
        <f t="shared" si="16"/>
        <v>1.0022909507445608</v>
      </c>
      <c r="G101" s="6"/>
      <c r="H101" s="115">
        <f t="shared" si="17"/>
        <v>145.49999999999972</v>
      </c>
      <c r="I101" s="115">
        <f t="shared" si="18"/>
        <v>727.49999999999864</v>
      </c>
      <c r="J101" s="115">
        <f t="shared" si="19"/>
        <v>4425.6249999999918</v>
      </c>
      <c r="K101" s="115">
        <f t="shared" si="20"/>
        <v>34919.999999999935</v>
      </c>
      <c r="L101" s="6"/>
      <c r="M101" s="11">
        <f t="shared" si="21"/>
        <v>34.364261168384949</v>
      </c>
    </row>
    <row r="102" spans="1:13">
      <c r="A102" s="115">
        <f t="shared" si="11"/>
        <v>9.7999999999999812</v>
      </c>
      <c r="B102" s="11">
        <f t="shared" si="12"/>
        <v>14.880952380952408</v>
      </c>
      <c r="C102" s="13">
        <f t="shared" si="13"/>
        <v>74.40476190476204</v>
      </c>
      <c r="D102" s="11">
        <f t="shared" si="14"/>
        <v>297.61904761904816</v>
      </c>
      <c r="E102" s="11">
        <f t="shared" si="15"/>
        <v>3571.4285714285779</v>
      </c>
      <c r="F102" s="14">
        <f t="shared" si="16"/>
        <v>0.99206349206349387</v>
      </c>
      <c r="G102" s="6"/>
      <c r="H102" s="115">
        <f t="shared" si="17"/>
        <v>146.99999999999972</v>
      </c>
      <c r="I102" s="115">
        <f t="shared" si="18"/>
        <v>734.99999999999864</v>
      </c>
      <c r="J102" s="115">
        <f t="shared" si="19"/>
        <v>4471.2499999999918</v>
      </c>
      <c r="K102" s="115">
        <f t="shared" si="20"/>
        <v>35279.999999999935</v>
      </c>
      <c r="L102" s="6"/>
      <c r="M102" s="11">
        <f t="shared" si="21"/>
        <v>34.013605442176939</v>
      </c>
    </row>
    <row r="103" spans="1:13">
      <c r="A103" s="115">
        <f t="shared" si="11"/>
        <v>9.8999999999999808</v>
      </c>
      <c r="B103" s="11">
        <f t="shared" si="12"/>
        <v>14.730639730639757</v>
      </c>
      <c r="C103" s="13">
        <f t="shared" si="13"/>
        <v>73.653198653198785</v>
      </c>
      <c r="D103" s="11">
        <f t="shared" si="14"/>
        <v>294.61279461279514</v>
      </c>
      <c r="E103" s="11">
        <f t="shared" si="15"/>
        <v>3535.3535353535417</v>
      </c>
      <c r="F103" s="14">
        <f t="shared" si="16"/>
        <v>0.98204264870931712</v>
      </c>
      <c r="G103" s="6"/>
      <c r="H103" s="115">
        <f t="shared" si="17"/>
        <v>148.49999999999972</v>
      </c>
      <c r="I103" s="115">
        <f t="shared" si="18"/>
        <v>742.49999999999864</v>
      </c>
      <c r="J103" s="115">
        <f t="shared" si="19"/>
        <v>4516.8749999999918</v>
      </c>
      <c r="K103" s="115">
        <f t="shared" si="20"/>
        <v>35639.999999999935</v>
      </c>
      <c r="L103" s="6"/>
      <c r="M103" s="11">
        <f t="shared" si="21"/>
        <v>33.670033670033732</v>
      </c>
    </row>
    <row r="104" spans="1:13">
      <c r="A104" s="115">
        <f t="shared" si="11"/>
        <v>9.9999999999999805</v>
      </c>
      <c r="B104" s="11">
        <f t="shared" si="12"/>
        <v>14.583333333333361</v>
      </c>
      <c r="C104" s="13">
        <f t="shared" si="13"/>
        <v>72.916666666666799</v>
      </c>
      <c r="D104" s="11">
        <f t="shared" si="14"/>
        <v>291.6666666666672</v>
      </c>
      <c r="E104" s="11">
        <f t="shared" si="15"/>
        <v>3500.0000000000064</v>
      </c>
      <c r="F104" s="14">
        <f t="shared" si="16"/>
        <v>0.97222222222222399</v>
      </c>
      <c r="G104" s="6"/>
      <c r="H104" s="115">
        <f t="shared" si="17"/>
        <v>149.99999999999972</v>
      </c>
      <c r="I104" s="115">
        <f t="shared" si="18"/>
        <v>749.99999999999864</v>
      </c>
      <c r="J104" s="115">
        <f t="shared" si="19"/>
        <v>4562.4999999999918</v>
      </c>
      <c r="K104" s="115">
        <f t="shared" si="20"/>
        <v>35999.999999999935</v>
      </c>
      <c r="L104" s="6"/>
      <c r="M104" s="11">
        <f t="shared" si="21"/>
        <v>33.3333333333334</v>
      </c>
    </row>
    <row r="105" spans="1:13">
      <c r="A105" s="115">
        <f t="shared" si="11"/>
        <v>10.09999999999998</v>
      </c>
      <c r="B105" s="11">
        <f t="shared" si="12"/>
        <v>14.438943894389466</v>
      </c>
      <c r="C105" s="13">
        <f t="shared" si="13"/>
        <v>72.194719471947323</v>
      </c>
      <c r="D105" s="11">
        <f t="shared" si="14"/>
        <v>288.77887788778929</v>
      </c>
      <c r="E105" s="11">
        <f t="shared" si="15"/>
        <v>3465.3465346534713</v>
      </c>
      <c r="F105" s="14">
        <f t="shared" si="16"/>
        <v>0.9625962596259644</v>
      </c>
      <c r="G105" s="6"/>
      <c r="H105" s="115">
        <f t="shared" si="17"/>
        <v>151.49999999999972</v>
      </c>
      <c r="I105" s="115">
        <f t="shared" si="18"/>
        <v>757.49999999999864</v>
      </c>
      <c r="J105" s="115">
        <f t="shared" si="19"/>
        <v>4608.1249999999918</v>
      </c>
      <c r="K105" s="115">
        <f t="shared" si="20"/>
        <v>36359.999999999935</v>
      </c>
      <c r="L105" s="6"/>
      <c r="M105" s="11">
        <f t="shared" si="21"/>
        <v>33.003300330033063</v>
      </c>
    </row>
    <row r="106" spans="1:13">
      <c r="A106" s="115">
        <f t="shared" si="11"/>
        <v>10.19999999999998</v>
      </c>
      <c r="B106" s="11">
        <f t="shared" si="12"/>
        <v>14.29738562091506</v>
      </c>
      <c r="C106" s="13">
        <f t="shared" si="13"/>
        <v>71.486928104575298</v>
      </c>
      <c r="D106" s="11">
        <f t="shared" si="14"/>
        <v>285.94771241830119</v>
      </c>
      <c r="E106" s="11">
        <f t="shared" si="15"/>
        <v>3431.3725490196143</v>
      </c>
      <c r="F106" s="14">
        <f t="shared" si="16"/>
        <v>0.95315904139433738</v>
      </c>
      <c r="G106" s="6"/>
      <c r="H106" s="115">
        <f t="shared" si="17"/>
        <v>152.99999999999969</v>
      </c>
      <c r="I106" s="115">
        <f t="shared" si="18"/>
        <v>764.99999999999841</v>
      </c>
      <c r="J106" s="115">
        <f t="shared" si="19"/>
        <v>4653.74999999999</v>
      </c>
      <c r="K106" s="115">
        <f t="shared" si="20"/>
        <v>36719.999999999927</v>
      </c>
      <c r="L106" s="6"/>
      <c r="M106" s="11">
        <f t="shared" si="21"/>
        <v>32.679738562091572</v>
      </c>
    </row>
    <row r="107" spans="1:13">
      <c r="A107" s="115">
        <f t="shared" si="11"/>
        <v>10.299999999999979</v>
      </c>
      <c r="B107" s="11">
        <f t="shared" si="12"/>
        <v>14.158576051779962</v>
      </c>
      <c r="C107" s="13">
        <f t="shared" si="13"/>
        <v>70.792880258899814</v>
      </c>
      <c r="D107" s="11">
        <f t="shared" si="14"/>
        <v>283.17152103559926</v>
      </c>
      <c r="E107" s="11">
        <f t="shared" si="15"/>
        <v>3398.0582524271913</v>
      </c>
      <c r="F107" s="14">
        <f t="shared" si="16"/>
        <v>0.94390507011866409</v>
      </c>
      <c r="G107" s="6"/>
      <c r="H107" s="115">
        <f t="shared" si="17"/>
        <v>154.49999999999969</v>
      </c>
      <c r="I107" s="115">
        <f t="shared" si="18"/>
        <v>772.49999999999841</v>
      </c>
      <c r="J107" s="115">
        <f t="shared" si="19"/>
        <v>4699.37499999999</v>
      </c>
      <c r="K107" s="115">
        <f t="shared" si="20"/>
        <v>37079.999999999927</v>
      </c>
      <c r="L107" s="6"/>
      <c r="M107" s="11">
        <f t="shared" si="21"/>
        <v>32.362459546925635</v>
      </c>
    </row>
    <row r="108" spans="1:13">
      <c r="A108" s="115">
        <f t="shared" si="11"/>
        <v>10.399999999999979</v>
      </c>
      <c r="B108" s="11">
        <f t="shared" si="12"/>
        <v>14.022435897435924</v>
      </c>
      <c r="C108" s="13">
        <f t="shared" si="13"/>
        <v>70.112179487179617</v>
      </c>
      <c r="D108" s="11">
        <f t="shared" si="14"/>
        <v>280.44871794871847</v>
      </c>
      <c r="E108" s="11">
        <f t="shared" si="15"/>
        <v>3365.3846153846216</v>
      </c>
      <c r="F108" s="14">
        <f t="shared" si="16"/>
        <v>0.93482905982906161</v>
      </c>
      <c r="G108" s="6"/>
      <c r="H108" s="115">
        <f t="shared" si="17"/>
        <v>155.99999999999969</v>
      </c>
      <c r="I108" s="115">
        <f t="shared" si="18"/>
        <v>779.99999999999841</v>
      </c>
      <c r="J108" s="115">
        <f t="shared" si="19"/>
        <v>4744.99999999999</v>
      </c>
      <c r="K108" s="115">
        <f t="shared" si="20"/>
        <v>37439.999999999927</v>
      </c>
      <c r="L108" s="6"/>
      <c r="M108" s="11">
        <f t="shared" si="21"/>
        <v>32.051282051282115</v>
      </c>
    </row>
    <row r="109" spans="1:13">
      <c r="A109" s="115">
        <f t="shared" si="11"/>
        <v>10.499999999999979</v>
      </c>
      <c r="B109" s="11">
        <f t="shared" si="12"/>
        <v>13.888888888888916</v>
      </c>
      <c r="C109" s="13">
        <f t="shared" si="13"/>
        <v>69.444444444444585</v>
      </c>
      <c r="D109" s="11">
        <f t="shared" si="14"/>
        <v>277.77777777777834</v>
      </c>
      <c r="E109" s="11">
        <f t="shared" si="15"/>
        <v>3333.3333333333403</v>
      </c>
      <c r="F109" s="14">
        <f t="shared" si="16"/>
        <v>0.92592592592592771</v>
      </c>
      <c r="G109" s="6"/>
      <c r="H109" s="115">
        <f t="shared" si="17"/>
        <v>157.49999999999969</v>
      </c>
      <c r="I109" s="115">
        <f t="shared" si="18"/>
        <v>787.49999999999841</v>
      </c>
      <c r="J109" s="115">
        <f t="shared" si="19"/>
        <v>4790.62499999999</v>
      </c>
      <c r="K109" s="115">
        <f t="shared" si="20"/>
        <v>37799.999999999927</v>
      </c>
      <c r="L109" s="6"/>
      <c r="M109" s="11">
        <f t="shared" si="21"/>
        <v>31.746031746031807</v>
      </c>
    </row>
    <row r="110" spans="1:13">
      <c r="A110" s="115">
        <f t="shared" si="11"/>
        <v>10.599999999999978</v>
      </c>
      <c r="B110" s="11">
        <f t="shared" si="12"/>
        <v>13.757861635220152</v>
      </c>
      <c r="C110" s="13">
        <f t="shared" si="13"/>
        <v>68.789308176100761</v>
      </c>
      <c r="D110" s="11">
        <f t="shared" si="14"/>
        <v>275.15723270440304</v>
      </c>
      <c r="E110" s="11">
        <f t="shared" si="15"/>
        <v>3301.8867924528367</v>
      </c>
      <c r="F110" s="14">
        <f t="shared" si="16"/>
        <v>0.91719077568134344</v>
      </c>
      <c r="G110" s="6"/>
      <c r="H110" s="115">
        <f t="shared" si="17"/>
        <v>158.99999999999969</v>
      </c>
      <c r="I110" s="115">
        <f t="shared" si="18"/>
        <v>794.99999999999841</v>
      </c>
      <c r="J110" s="115">
        <f t="shared" si="19"/>
        <v>4836.24999999999</v>
      </c>
      <c r="K110" s="115">
        <f t="shared" si="20"/>
        <v>38159.999999999927</v>
      </c>
      <c r="L110" s="6"/>
      <c r="M110" s="11">
        <f t="shared" si="21"/>
        <v>31.446540880503207</v>
      </c>
    </row>
    <row r="111" spans="1:13">
      <c r="A111" s="115">
        <f t="shared" si="11"/>
        <v>10.699999999999978</v>
      </c>
      <c r="B111" s="11">
        <f t="shared" si="12"/>
        <v>13.629283489096599</v>
      </c>
      <c r="C111" s="13">
        <f t="shared" si="13"/>
        <v>68.146417445482996</v>
      </c>
      <c r="D111" s="11">
        <f t="shared" si="14"/>
        <v>272.58566978193198</v>
      </c>
      <c r="E111" s="11">
        <f t="shared" si="15"/>
        <v>3271.0280373831838</v>
      </c>
      <c r="F111" s="14">
        <f t="shared" si="16"/>
        <v>0.90861889927310657</v>
      </c>
      <c r="G111" s="6"/>
      <c r="H111" s="115">
        <f t="shared" si="17"/>
        <v>160.49999999999966</v>
      </c>
      <c r="I111" s="115">
        <f t="shared" si="18"/>
        <v>802.49999999999829</v>
      </c>
      <c r="J111" s="115">
        <f t="shared" si="19"/>
        <v>4881.87499999999</v>
      </c>
      <c r="K111" s="115">
        <f t="shared" si="20"/>
        <v>38519.99999999992</v>
      </c>
      <c r="L111" s="6"/>
      <c r="M111" s="11">
        <f t="shared" si="21"/>
        <v>31.152647975077947</v>
      </c>
    </row>
    <row r="112" spans="1:13">
      <c r="A112" s="115">
        <f t="shared" si="11"/>
        <v>10.799999999999978</v>
      </c>
      <c r="B112" s="11">
        <f t="shared" ref="B112:B134" si="22">$B$3/A112</f>
        <v>13.503086419753112</v>
      </c>
      <c r="C112" s="13">
        <f t="shared" ref="C112:C134" si="23">B112*5</f>
        <v>67.515432098765558</v>
      </c>
      <c r="D112" s="11">
        <f t="shared" ref="D112:D134" si="24">E112/12</f>
        <v>270.06172839506223</v>
      </c>
      <c r="E112" s="11">
        <f t="shared" ref="E112:E134" si="25">C112*48</f>
        <v>3240.7407407407468</v>
      </c>
      <c r="F112" s="14">
        <f t="shared" ref="F112:F134" si="26">B112/$I$2</f>
        <v>0.90020576131687413</v>
      </c>
      <c r="G112" s="6"/>
      <c r="H112" s="115">
        <f t="shared" ref="H112:H134" si="27">A112*$I$2</f>
        <v>161.99999999999966</v>
      </c>
      <c r="I112" s="115">
        <f t="shared" ref="I112:I134" si="28">H112*5</f>
        <v>809.99999999999829</v>
      </c>
      <c r="J112" s="115">
        <f t="shared" ref="J112:J134" si="29">H112*365/12</f>
        <v>4927.49999999999</v>
      </c>
      <c r="K112" s="115">
        <f t="shared" ref="K112:K134" si="30">I112*48</f>
        <v>38879.99999999992</v>
      </c>
      <c r="L112" s="6"/>
      <c r="M112" s="11">
        <f t="shared" ref="M112:M134" si="31">$H$1/H112</f>
        <v>30.864197530864264</v>
      </c>
    </row>
    <row r="113" spans="1:13">
      <c r="A113" s="115">
        <f t="shared" si="11"/>
        <v>10.899999999999977</v>
      </c>
      <c r="B113" s="11">
        <f t="shared" si="22"/>
        <v>13.379204892966387</v>
      </c>
      <c r="C113" s="13">
        <f t="shared" si="23"/>
        <v>66.896024464831939</v>
      </c>
      <c r="D113" s="11">
        <f t="shared" si="24"/>
        <v>267.58409785932776</v>
      </c>
      <c r="E113" s="11">
        <f t="shared" si="25"/>
        <v>3211.0091743119328</v>
      </c>
      <c r="F113" s="14">
        <f t="shared" si="26"/>
        <v>0.8919469928644258</v>
      </c>
      <c r="G113" s="6"/>
      <c r="H113" s="115">
        <f t="shared" si="27"/>
        <v>163.49999999999966</v>
      </c>
      <c r="I113" s="115">
        <f t="shared" si="28"/>
        <v>817.49999999999829</v>
      </c>
      <c r="J113" s="115">
        <f t="shared" si="29"/>
        <v>4973.12499999999</v>
      </c>
      <c r="K113" s="115">
        <f t="shared" si="30"/>
        <v>39239.99999999992</v>
      </c>
      <c r="L113" s="6"/>
      <c r="M113" s="11">
        <f t="shared" si="31"/>
        <v>30.581039755351746</v>
      </c>
    </row>
    <row r="114" spans="1:13">
      <c r="A114" s="115">
        <f t="shared" si="11"/>
        <v>10.999999999999977</v>
      </c>
      <c r="B114" s="11">
        <f t="shared" si="22"/>
        <v>13.257575757575784</v>
      </c>
      <c r="C114" s="13">
        <f t="shared" si="23"/>
        <v>66.287878787878924</v>
      </c>
      <c r="D114" s="11">
        <f t="shared" si="24"/>
        <v>265.1515151515157</v>
      </c>
      <c r="E114" s="11">
        <f t="shared" si="25"/>
        <v>3181.8181818181884</v>
      </c>
      <c r="F114" s="14">
        <f t="shared" si="26"/>
        <v>0.88383838383838564</v>
      </c>
      <c r="G114" s="6"/>
      <c r="H114" s="115">
        <f t="shared" si="27"/>
        <v>164.99999999999966</v>
      </c>
      <c r="I114" s="115">
        <f t="shared" si="28"/>
        <v>824.99999999999829</v>
      </c>
      <c r="J114" s="115">
        <f t="shared" si="29"/>
        <v>5018.74999999999</v>
      </c>
      <c r="K114" s="115">
        <f t="shared" si="30"/>
        <v>39599.99999999992</v>
      </c>
      <c r="L114" s="6"/>
      <c r="M114" s="11">
        <f t="shared" si="31"/>
        <v>30.303030303030365</v>
      </c>
    </row>
    <row r="115" spans="1:13">
      <c r="A115" s="115">
        <f t="shared" si="11"/>
        <v>11.099999999999977</v>
      </c>
      <c r="B115" s="11">
        <f t="shared" si="22"/>
        <v>13.138138138138164</v>
      </c>
      <c r="C115" s="13">
        <f t="shared" si="23"/>
        <v>65.690690690690815</v>
      </c>
      <c r="D115" s="11">
        <f t="shared" si="24"/>
        <v>262.76276276276326</v>
      </c>
      <c r="E115" s="11">
        <f t="shared" si="25"/>
        <v>3153.1531531531591</v>
      </c>
      <c r="F115" s="14">
        <f t="shared" si="26"/>
        <v>0.87587587587587756</v>
      </c>
      <c r="G115" s="6"/>
      <c r="H115" s="115">
        <f t="shared" si="27"/>
        <v>166.49999999999966</v>
      </c>
      <c r="I115" s="115">
        <f t="shared" si="28"/>
        <v>832.49999999999829</v>
      </c>
      <c r="J115" s="115">
        <f t="shared" si="29"/>
        <v>5064.37499999999</v>
      </c>
      <c r="K115" s="115">
        <f t="shared" si="30"/>
        <v>39959.99999999992</v>
      </c>
      <c r="L115" s="6"/>
      <c r="M115" s="11">
        <f t="shared" si="31"/>
        <v>30.03003003003009</v>
      </c>
    </row>
    <row r="116" spans="1:13">
      <c r="A116" s="115">
        <f t="shared" si="11"/>
        <v>11.199999999999976</v>
      </c>
      <c r="B116" s="11">
        <f t="shared" si="22"/>
        <v>13.020833333333359</v>
      </c>
      <c r="C116" s="13">
        <f t="shared" si="23"/>
        <v>65.104166666666799</v>
      </c>
      <c r="D116" s="11">
        <f t="shared" si="24"/>
        <v>260.4166666666672</v>
      </c>
      <c r="E116" s="11">
        <f t="shared" si="25"/>
        <v>3125.0000000000064</v>
      </c>
      <c r="F116" s="14">
        <f t="shared" si="26"/>
        <v>0.86805555555555725</v>
      </c>
      <c r="G116" s="6"/>
      <c r="H116" s="115">
        <f t="shared" si="27"/>
        <v>167.99999999999963</v>
      </c>
      <c r="I116" s="115">
        <f t="shared" si="28"/>
        <v>839.99999999999818</v>
      </c>
      <c r="J116" s="115">
        <f t="shared" si="29"/>
        <v>5109.9999999999882</v>
      </c>
      <c r="K116" s="115">
        <f t="shared" si="30"/>
        <v>40319.999999999913</v>
      </c>
      <c r="L116" s="6"/>
      <c r="M116" s="11">
        <f t="shared" si="31"/>
        <v>29.761904761904827</v>
      </c>
    </row>
    <row r="117" spans="1:13">
      <c r="A117" s="115">
        <f t="shared" si="11"/>
        <v>11.299999999999976</v>
      </c>
      <c r="B117" s="11">
        <f t="shared" si="22"/>
        <v>12.905604719764037</v>
      </c>
      <c r="C117" s="13">
        <f t="shared" si="23"/>
        <v>64.528023598820184</v>
      </c>
      <c r="D117" s="11">
        <f t="shared" si="24"/>
        <v>258.11209439528074</v>
      </c>
      <c r="E117" s="11">
        <f t="shared" si="25"/>
        <v>3097.3451327433686</v>
      </c>
      <c r="F117" s="14">
        <f t="shared" si="26"/>
        <v>0.86037364798426919</v>
      </c>
      <c r="G117" s="6"/>
      <c r="H117" s="115">
        <f t="shared" si="27"/>
        <v>169.49999999999963</v>
      </c>
      <c r="I117" s="115">
        <f t="shared" si="28"/>
        <v>847.49999999999818</v>
      </c>
      <c r="J117" s="115">
        <f t="shared" si="29"/>
        <v>5155.6249999999882</v>
      </c>
      <c r="K117" s="115">
        <f t="shared" si="30"/>
        <v>40679.999999999913</v>
      </c>
      <c r="L117" s="6"/>
      <c r="M117" s="11">
        <f t="shared" si="31"/>
        <v>29.498525073746379</v>
      </c>
    </row>
    <row r="118" spans="1:13">
      <c r="A118" s="115">
        <f t="shared" si="11"/>
        <v>11.399999999999975</v>
      </c>
      <c r="B118" s="11">
        <f t="shared" si="22"/>
        <v>12.79239766081874</v>
      </c>
      <c r="C118" s="13">
        <f t="shared" si="23"/>
        <v>63.961988304093694</v>
      </c>
      <c r="D118" s="11">
        <f t="shared" si="24"/>
        <v>255.84795321637478</v>
      </c>
      <c r="E118" s="11">
        <f t="shared" si="25"/>
        <v>3070.1754385964973</v>
      </c>
      <c r="F118" s="14">
        <f t="shared" si="26"/>
        <v>0.85282651072124926</v>
      </c>
      <c r="G118" s="6"/>
      <c r="H118" s="115">
        <f t="shared" si="27"/>
        <v>170.99999999999963</v>
      </c>
      <c r="I118" s="115">
        <f t="shared" si="28"/>
        <v>854.99999999999818</v>
      </c>
      <c r="J118" s="115">
        <f t="shared" si="29"/>
        <v>5201.2499999999882</v>
      </c>
      <c r="K118" s="115">
        <f t="shared" si="30"/>
        <v>41039.999999999913</v>
      </c>
      <c r="L118" s="6"/>
      <c r="M118" s="11">
        <f t="shared" si="31"/>
        <v>29.239766081871409</v>
      </c>
    </row>
    <row r="119" spans="1:13">
      <c r="A119" s="115">
        <f t="shared" si="11"/>
        <v>11.499999999999975</v>
      </c>
      <c r="B119" s="11">
        <f t="shared" si="22"/>
        <v>12.68115942028988</v>
      </c>
      <c r="C119" s="13">
        <f t="shared" si="23"/>
        <v>63.405797101449402</v>
      </c>
      <c r="D119" s="11">
        <f t="shared" si="24"/>
        <v>253.62318840579761</v>
      </c>
      <c r="E119" s="11">
        <f t="shared" si="25"/>
        <v>3043.4782608695714</v>
      </c>
      <c r="F119" s="14">
        <f t="shared" si="26"/>
        <v>0.84541062801932532</v>
      </c>
      <c r="G119" s="6"/>
      <c r="H119" s="115">
        <f t="shared" si="27"/>
        <v>172.49999999999963</v>
      </c>
      <c r="I119" s="115">
        <f t="shared" si="28"/>
        <v>862.49999999999818</v>
      </c>
      <c r="J119" s="115">
        <f t="shared" si="29"/>
        <v>5246.8749999999882</v>
      </c>
      <c r="K119" s="115">
        <f t="shared" si="30"/>
        <v>41399.999999999913</v>
      </c>
      <c r="L119" s="6"/>
      <c r="M119" s="11">
        <f t="shared" si="31"/>
        <v>28.985507246376873</v>
      </c>
    </row>
    <row r="120" spans="1:13">
      <c r="A120" s="115">
        <f t="shared" si="11"/>
        <v>11.599999999999975</v>
      </c>
      <c r="B120" s="11">
        <f t="shared" si="22"/>
        <v>12.571839080459796</v>
      </c>
      <c r="C120" s="13">
        <f t="shared" si="23"/>
        <v>62.85919540229898</v>
      </c>
      <c r="D120" s="11">
        <f t="shared" si="24"/>
        <v>251.43678160919592</v>
      </c>
      <c r="E120" s="11">
        <f t="shared" si="25"/>
        <v>3017.241379310351</v>
      </c>
      <c r="F120" s="14">
        <f t="shared" si="26"/>
        <v>0.83812260536398642</v>
      </c>
      <c r="G120" s="6"/>
      <c r="H120" s="115">
        <f t="shared" si="27"/>
        <v>173.99999999999963</v>
      </c>
      <c r="I120" s="115">
        <f t="shared" si="28"/>
        <v>869.99999999999818</v>
      </c>
      <c r="J120" s="115">
        <f t="shared" si="29"/>
        <v>5292.4999999999882</v>
      </c>
      <c r="K120" s="115">
        <f t="shared" si="30"/>
        <v>41759.999999999913</v>
      </c>
      <c r="L120" s="6"/>
      <c r="M120" s="11">
        <f t="shared" si="31"/>
        <v>28.735632183908105</v>
      </c>
    </row>
    <row r="121" spans="1:13">
      <c r="A121" s="115">
        <f t="shared" si="11"/>
        <v>11.699999999999974</v>
      </c>
      <c r="B121" s="11">
        <f t="shared" si="22"/>
        <v>12.464387464387491</v>
      </c>
      <c r="C121" s="13">
        <f t="shared" si="23"/>
        <v>62.321937321937455</v>
      </c>
      <c r="D121" s="11">
        <f t="shared" si="24"/>
        <v>249.28774928774979</v>
      </c>
      <c r="E121" s="11">
        <f t="shared" si="25"/>
        <v>2991.4529914529976</v>
      </c>
      <c r="F121" s="14">
        <f t="shared" si="26"/>
        <v>0.83095916429249939</v>
      </c>
      <c r="G121" s="6"/>
      <c r="H121" s="115">
        <f t="shared" si="27"/>
        <v>175.4999999999996</v>
      </c>
      <c r="I121" s="115">
        <f t="shared" si="28"/>
        <v>877.49999999999795</v>
      </c>
      <c r="J121" s="115">
        <f t="shared" si="29"/>
        <v>5338.1249999999882</v>
      </c>
      <c r="K121" s="115">
        <f t="shared" si="30"/>
        <v>42119.999999999898</v>
      </c>
      <c r="L121" s="6"/>
      <c r="M121" s="11">
        <f t="shared" si="31"/>
        <v>28.490028490028553</v>
      </c>
    </row>
    <row r="122" spans="1:13">
      <c r="A122" s="115">
        <f t="shared" si="11"/>
        <v>11.799999999999974</v>
      </c>
      <c r="B122" s="11">
        <f t="shared" si="22"/>
        <v>12.358757062146918</v>
      </c>
      <c r="C122" s="13">
        <f t="shared" si="23"/>
        <v>61.793785310734592</v>
      </c>
      <c r="D122" s="11">
        <f t="shared" si="24"/>
        <v>247.17514124293837</v>
      </c>
      <c r="E122" s="11">
        <f t="shared" si="25"/>
        <v>2966.1016949152604</v>
      </c>
      <c r="F122" s="14">
        <f t="shared" si="26"/>
        <v>0.82391713747646123</v>
      </c>
      <c r="G122" s="6"/>
      <c r="H122" s="115">
        <f t="shared" si="27"/>
        <v>176.9999999999996</v>
      </c>
      <c r="I122" s="115">
        <f t="shared" si="28"/>
        <v>884.99999999999795</v>
      </c>
      <c r="J122" s="115">
        <f t="shared" si="29"/>
        <v>5383.7499999999882</v>
      </c>
      <c r="K122" s="115">
        <f t="shared" si="30"/>
        <v>42479.999999999898</v>
      </c>
      <c r="L122" s="6"/>
      <c r="M122" s="11">
        <f t="shared" si="31"/>
        <v>28.248587570621531</v>
      </c>
    </row>
    <row r="123" spans="1:13">
      <c r="A123" s="115">
        <f t="shared" si="11"/>
        <v>11.899999999999974</v>
      </c>
      <c r="B123" s="11">
        <f t="shared" si="22"/>
        <v>12.254901960784339</v>
      </c>
      <c r="C123" s="13">
        <f t="shared" si="23"/>
        <v>61.274509803921696</v>
      </c>
      <c r="D123" s="11">
        <f t="shared" si="24"/>
        <v>245.09803921568678</v>
      </c>
      <c r="E123" s="11">
        <f t="shared" si="25"/>
        <v>2941.1764705882415</v>
      </c>
      <c r="F123" s="14">
        <f t="shared" si="26"/>
        <v>0.81699346405228934</v>
      </c>
      <c r="G123" s="6"/>
      <c r="H123" s="115">
        <f t="shared" si="27"/>
        <v>178.4999999999996</v>
      </c>
      <c r="I123" s="115">
        <f t="shared" si="28"/>
        <v>892.49999999999795</v>
      </c>
      <c r="J123" s="115">
        <f t="shared" si="29"/>
        <v>5429.3749999999882</v>
      </c>
      <c r="K123" s="115">
        <f t="shared" si="30"/>
        <v>42839.999999999898</v>
      </c>
      <c r="L123" s="6"/>
      <c r="M123" s="11">
        <f t="shared" si="31"/>
        <v>28.011204481792781</v>
      </c>
    </row>
    <row r="124" spans="1:13">
      <c r="A124" s="115">
        <f t="shared" si="11"/>
        <v>11.999999999999973</v>
      </c>
      <c r="B124" s="11">
        <f t="shared" si="22"/>
        <v>12.152777777777803</v>
      </c>
      <c r="C124" s="13">
        <f t="shared" si="23"/>
        <v>60.763888888889014</v>
      </c>
      <c r="D124" s="11">
        <f t="shared" si="24"/>
        <v>243.05555555555603</v>
      </c>
      <c r="E124" s="11">
        <f t="shared" si="25"/>
        <v>2916.6666666666724</v>
      </c>
      <c r="F124" s="14">
        <f t="shared" si="26"/>
        <v>0.8101851851851869</v>
      </c>
      <c r="G124" s="6"/>
      <c r="H124" s="115">
        <f t="shared" si="27"/>
        <v>179.9999999999996</v>
      </c>
      <c r="I124" s="115">
        <f t="shared" si="28"/>
        <v>899.99999999999795</v>
      </c>
      <c r="J124" s="115">
        <f t="shared" si="29"/>
        <v>5474.9999999999882</v>
      </c>
      <c r="K124" s="115">
        <f t="shared" si="30"/>
        <v>43199.999999999898</v>
      </c>
      <c r="L124" s="6"/>
      <c r="M124" s="11">
        <f t="shared" si="31"/>
        <v>27.777777777777839</v>
      </c>
    </row>
    <row r="125" spans="1:13">
      <c r="A125" s="115">
        <f t="shared" si="11"/>
        <v>12.099999999999973</v>
      </c>
      <c r="B125" s="11">
        <f t="shared" si="22"/>
        <v>12.052341597796168</v>
      </c>
      <c r="C125" s="13">
        <f t="shared" si="23"/>
        <v>60.261707988980845</v>
      </c>
      <c r="D125" s="11">
        <f t="shared" si="24"/>
        <v>241.04683195592338</v>
      </c>
      <c r="E125" s="11">
        <f t="shared" si="25"/>
        <v>2892.5619834710806</v>
      </c>
      <c r="F125" s="14">
        <f t="shared" si="26"/>
        <v>0.80348943985307786</v>
      </c>
      <c r="G125" s="6"/>
      <c r="H125" s="115">
        <f t="shared" si="27"/>
        <v>181.4999999999996</v>
      </c>
      <c r="I125" s="115">
        <f t="shared" si="28"/>
        <v>907.49999999999795</v>
      </c>
      <c r="J125" s="115">
        <f t="shared" si="29"/>
        <v>5520.6249999999882</v>
      </c>
      <c r="K125" s="115">
        <f t="shared" si="30"/>
        <v>43559.999999999898</v>
      </c>
      <c r="L125" s="6"/>
      <c r="M125" s="11">
        <f t="shared" si="31"/>
        <v>27.548209366391244</v>
      </c>
    </row>
    <row r="126" spans="1:13">
      <c r="A126" s="115">
        <f t="shared" ref="A126:A189" si="32">A125+0.1</f>
        <v>12.199999999999973</v>
      </c>
      <c r="B126" s="11">
        <f t="shared" si="22"/>
        <v>11.953551912568331</v>
      </c>
      <c r="C126" s="13">
        <f t="shared" si="23"/>
        <v>59.767759562841654</v>
      </c>
      <c r="D126" s="11">
        <f t="shared" si="24"/>
        <v>239.07103825136662</v>
      </c>
      <c r="E126" s="11">
        <f t="shared" si="25"/>
        <v>2868.8524590163993</v>
      </c>
      <c r="F126" s="14">
        <f t="shared" si="26"/>
        <v>0.79690346083788877</v>
      </c>
      <c r="G126" s="6"/>
      <c r="H126" s="115">
        <f t="shared" si="27"/>
        <v>182.9999999999996</v>
      </c>
      <c r="I126" s="115">
        <f t="shared" si="28"/>
        <v>914.99999999999795</v>
      </c>
      <c r="J126" s="115">
        <f t="shared" si="29"/>
        <v>5566.2499999999882</v>
      </c>
      <c r="K126" s="115">
        <f t="shared" si="30"/>
        <v>43919.999999999898</v>
      </c>
      <c r="L126" s="6"/>
      <c r="M126" s="11">
        <f t="shared" si="31"/>
        <v>27.32240437158476</v>
      </c>
    </row>
    <row r="127" spans="1:13">
      <c r="A127" s="115">
        <f t="shared" si="32"/>
        <v>12.299999999999972</v>
      </c>
      <c r="B127" s="11">
        <f t="shared" si="22"/>
        <v>11.856368563685661</v>
      </c>
      <c r="C127" s="13">
        <f t="shared" si="23"/>
        <v>59.281842818428309</v>
      </c>
      <c r="D127" s="11">
        <f t="shared" si="24"/>
        <v>237.12737127371324</v>
      </c>
      <c r="E127" s="11">
        <f t="shared" si="25"/>
        <v>2845.5284552845587</v>
      </c>
      <c r="F127" s="14">
        <f t="shared" si="26"/>
        <v>0.79042457091237739</v>
      </c>
      <c r="G127" s="6"/>
      <c r="H127" s="115">
        <f t="shared" si="27"/>
        <v>184.49999999999957</v>
      </c>
      <c r="I127" s="115">
        <f t="shared" si="28"/>
        <v>922.49999999999784</v>
      </c>
      <c r="J127" s="115">
        <f t="shared" si="29"/>
        <v>5611.8749999999864</v>
      </c>
      <c r="K127" s="115">
        <f t="shared" si="30"/>
        <v>44279.999999999898</v>
      </c>
      <c r="L127" s="6"/>
      <c r="M127" s="11">
        <f t="shared" si="31"/>
        <v>27.100271002710091</v>
      </c>
    </row>
    <row r="128" spans="1:13">
      <c r="A128" s="115">
        <f t="shared" si="32"/>
        <v>12.399999999999972</v>
      </c>
      <c r="B128" s="11">
        <f t="shared" si="22"/>
        <v>11.760752688172069</v>
      </c>
      <c r="C128" s="13">
        <f t="shared" si="23"/>
        <v>58.803763440860344</v>
      </c>
      <c r="D128" s="11">
        <f t="shared" si="24"/>
        <v>235.21505376344138</v>
      </c>
      <c r="E128" s="11">
        <f t="shared" si="25"/>
        <v>2822.5806451612966</v>
      </c>
      <c r="F128" s="14">
        <f t="shared" si="26"/>
        <v>0.78405017921147124</v>
      </c>
      <c r="G128" s="6"/>
      <c r="H128" s="115">
        <f t="shared" si="27"/>
        <v>185.99999999999957</v>
      </c>
      <c r="I128" s="115">
        <f t="shared" si="28"/>
        <v>929.99999999999784</v>
      </c>
      <c r="J128" s="115">
        <f t="shared" si="29"/>
        <v>5657.4999999999864</v>
      </c>
      <c r="K128" s="115">
        <f t="shared" si="30"/>
        <v>44639.999999999898</v>
      </c>
      <c r="L128" s="6"/>
      <c r="M128" s="11">
        <f t="shared" si="31"/>
        <v>26.881720430107588</v>
      </c>
    </row>
    <row r="129" spans="1:13">
      <c r="A129" s="115">
        <f t="shared" si="32"/>
        <v>12.499999999999972</v>
      </c>
      <c r="B129" s="11">
        <f t="shared" si="22"/>
        <v>11.666666666666691</v>
      </c>
      <c r="C129" s="13">
        <f t="shared" si="23"/>
        <v>58.333333333333456</v>
      </c>
      <c r="D129" s="11">
        <f t="shared" si="24"/>
        <v>233.33333333333383</v>
      </c>
      <c r="E129" s="11">
        <f t="shared" si="25"/>
        <v>2800.0000000000059</v>
      </c>
      <c r="F129" s="14">
        <f t="shared" si="26"/>
        <v>0.77777777777777934</v>
      </c>
      <c r="G129" s="6"/>
      <c r="H129" s="115">
        <f t="shared" si="27"/>
        <v>187.49999999999957</v>
      </c>
      <c r="I129" s="115">
        <f t="shared" si="28"/>
        <v>937.49999999999784</v>
      </c>
      <c r="J129" s="115">
        <f t="shared" si="29"/>
        <v>5703.1249999999864</v>
      </c>
      <c r="K129" s="115">
        <f t="shared" si="30"/>
        <v>44999.999999999898</v>
      </c>
      <c r="L129" s="6"/>
      <c r="M129" s="11">
        <f t="shared" si="31"/>
        <v>26.666666666666728</v>
      </c>
    </row>
    <row r="130" spans="1:13">
      <c r="A130" s="115">
        <f t="shared" si="32"/>
        <v>12.599999999999971</v>
      </c>
      <c r="B130" s="11">
        <f t="shared" si="22"/>
        <v>11.574074074074099</v>
      </c>
      <c r="C130" s="13">
        <f t="shared" si="23"/>
        <v>57.870370370370495</v>
      </c>
      <c r="D130" s="11">
        <f t="shared" si="24"/>
        <v>231.48148148148198</v>
      </c>
      <c r="E130" s="11">
        <f t="shared" si="25"/>
        <v>2777.7777777777837</v>
      </c>
      <c r="F130" s="14">
        <f t="shared" si="26"/>
        <v>0.77160493827160659</v>
      </c>
      <c r="G130" s="6"/>
      <c r="H130" s="115">
        <f t="shared" si="27"/>
        <v>188.99999999999957</v>
      </c>
      <c r="I130" s="115">
        <f t="shared" si="28"/>
        <v>944.99999999999784</v>
      </c>
      <c r="J130" s="115">
        <f t="shared" si="29"/>
        <v>5748.7499999999864</v>
      </c>
      <c r="K130" s="115">
        <f t="shared" si="30"/>
        <v>45359.999999999898</v>
      </c>
      <c r="L130" s="6"/>
      <c r="M130" s="11">
        <f t="shared" si="31"/>
        <v>26.455026455026516</v>
      </c>
    </row>
    <row r="131" spans="1:13">
      <c r="A131" s="115">
        <f t="shared" si="32"/>
        <v>12.699999999999971</v>
      </c>
      <c r="B131" s="11">
        <f t="shared" si="22"/>
        <v>11.482939632545957</v>
      </c>
      <c r="C131" s="13">
        <f t="shared" si="23"/>
        <v>57.414698162729785</v>
      </c>
      <c r="D131" s="11">
        <f t="shared" si="24"/>
        <v>229.65879265091914</v>
      </c>
      <c r="E131" s="11">
        <f t="shared" si="25"/>
        <v>2755.9055118110296</v>
      </c>
      <c r="F131" s="14">
        <f t="shared" si="26"/>
        <v>0.76552930883639714</v>
      </c>
      <c r="G131" s="6"/>
      <c r="H131" s="115">
        <f t="shared" si="27"/>
        <v>190.49999999999957</v>
      </c>
      <c r="I131" s="115">
        <f t="shared" si="28"/>
        <v>952.49999999999784</v>
      </c>
      <c r="J131" s="115">
        <f t="shared" si="29"/>
        <v>5794.3749999999864</v>
      </c>
      <c r="K131" s="115">
        <f t="shared" si="30"/>
        <v>45719.999999999898</v>
      </c>
      <c r="L131" s="6"/>
      <c r="M131" s="11">
        <f t="shared" si="31"/>
        <v>26.246719160105044</v>
      </c>
    </row>
    <row r="132" spans="1:13">
      <c r="A132" s="115">
        <f t="shared" si="32"/>
        <v>12.799999999999971</v>
      </c>
      <c r="B132" s="11">
        <f t="shared" si="22"/>
        <v>11.393229166666691</v>
      </c>
      <c r="C132" s="13">
        <f t="shared" si="23"/>
        <v>56.966145833333456</v>
      </c>
      <c r="D132" s="11">
        <f t="shared" si="24"/>
        <v>227.86458333333383</v>
      </c>
      <c r="E132" s="11">
        <f t="shared" si="25"/>
        <v>2734.3750000000059</v>
      </c>
      <c r="F132" s="14">
        <f t="shared" si="26"/>
        <v>0.75954861111111271</v>
      </c>
      <c r="G132" s="6"/>
      <c r="H132" s="115">
        <f t="shared" si="27"/>
        <v>191.99999999999955</v>
      </c>
      <c r="I132" s="115">
        <f t="shared" si="28"/>
        <v>959.99999999999773</v>
      </c>
      <c r="J132" s="115">
        <f t="shared" si="29"/>
        <v>5839.9999999999864</v>
      </c>
      <c r="K132" s="115">
        <f t="shared" si="30"/>
        <v>46079.999999999891</v>
      </c>
      <c r="L132" s="6"/>
      <c r="M132" s="11">
        <f t="shared" si="31"/>
        <v>26.041666666666728</v>
      </c>
    </row>
    <row r="133" spans="1:13">
      <c r="A133" s="115">
        <f t="shared" si="32"/>
        <v>12.89999999999997</v>
      </c>
      <c r="B133" s="11">
        <f t="shared" si="22"/>
        <v>11.304909560723539</v>
      </c>
      <c r="C133" s="13">
        <f t="shared" si="23"/>
        <v>56.524547803617693</v>
      </c>
      <c r="D133" s="11">
        <f t="shared" si="24"/>
        <v>226.0981912144708</v>
      </c>
      <c r="E133" s="11">
        <f t="shared" si="25"/>
        <v>2713.1782945736495</v>
      </c>
      <c r="F133" s="14">
        <f t="shared" si="26"/>
        <v>0.7536606373815693</v>
      </c>
      <c r="G133" s="6"/>
      <c r="H133" s="115">
        <f t="shared" si="27"/>
        <v>193.49999999999955</v>
      </c>
      <c r="I133" s="115">
        <f t="shared" si="28"/>
        <v>967.49999999999773</v>
      </c>
      <c r="J133" s="115">
        <f t="shared" si="29"/>
        <v>5885.6249999999864</v>
      </c>
      <c r="K133" s="115">
        <f t="shared" si="30"/>
        <v>46439.999999999891</v>
      </c>
      <c r="L133" s="6"/>
      <c r="M133" s="11">
        <f t="shared" si="31"/>
        <v>25.839793281653808</v>
      </c>
    </row>
    <row r="134" spans="1:13">
      <c r="A134" s="115">
        <f t="shared" si="32"/>
        <v>12.99999999999997</v>
      </c>
      <c r="B134" s="11">
        <f t="shared" si="22"/>
        <v>11.217948717948742</v>
      </c>
      <c r="C134" s="13">
        <f t="shared" si="23"/>
        <v>56.089743589743712</v>
      </c>
      <c r="D134" s="11">
        <f t="shared" si="24"/>
        <v>224.35897435897485</v>
      </c>
      <c r="E134" s="11">
        <f t="shared" si="25"/>
        <v>2692.3076923076983</v>
      </c>
      <c r="F134" s="14">
        <f t="shared" si="26"/>
        <v>0.74786324786324943</v>
      </c>
      <c r="G134" s="6"/>
      <c r="H134" s="115">
        <f t="shared" si="27"/>
        <v>194.99999999999955</v>
      </c>
      <c r="I134" s="115">
        <f t="shared" si="28"/>
        <v>974.99999999999773</v>
      </c>
      <c r="J134" s="115">
        <f t="shared" si="29"/>
        <v>5931.2499999999864</v>
      </c>
      <c r="K134" s="115">
        <f t="shared" si="30"/>
        <v>46799.999999999891</v>
      </c>
      <c r="L134" s="6"/>
      <c r="M134" s="11">
        <f t="shared" si="31"/>
        <v>25.641025641025699</v>
      </c>
    </row>
    <row r="135" spans="1:13">
      <c r="A135" s="115">
        <f t="shared" si="32"/>
        <v>13.099999999999969</v>
      </c>
      <c r="B135" s="11">
        <f t="shared" ref="B135:B190" si="33">$B$3/A135</f>
        <v>11.132315521628524</v>
      </c>
      <c r="C135" s="13">
        <f t="shared" ref="C135:C190" si="34">B135*5</f>
        <v>55.661577608142622</v>
      </c>
      <c r="D135" s="11">
        <f t="shared" ref="D135:D190" si="35">E135/12</f>
        <v>222.64631043257046</v>
      </c>
      <c r="E135" s="11">
        <f t="shared" ref="E135:E190" si="36">C135*48</f>
        <v>2671.7557251908456</v>
      </c>
      <c r="F135" s="14">
        <f t="shared" ref="F135:F190" si="37">B135/$I$2</f>
        <v>0.74215436810856827</v>
      </c>
      <c r="G135" s="6"/>
      <c r="H135" s="115">
        <f t="shared" ref="H135:H190" si="38">A135*$I$2</f>
        <v>196.49999999999955</v>
      </c>
      <c r="I135" s="115">
        <f t="shared" ref="I135:I190" si="39">H135*5</f>
        <v>982.49999999999773</v>
      </c>
      <c r="J135" s="115">
        <f t="shared" ref="J135:J190" si="40">H135*365/12</f>
        <v>5976.8749999999864</v>
      </c>
      <c r="K135" s="115">
        <f t="shared" ref="K135:K190" si="41">I135*48</f>
        <v>47159.999999999891</v>
      </c>
      <c r="L135" s="6"/>
      <c r="M135" s="11">
        <f t="shared" ref="M135:M190" si="42">$H$1/H135</f>
        <v>25.445292620865199</v>
      </c>
    </row>
    <row r="136" spans="1:13">
      <c r="A136" s="115">
        <f t="shared" si="32"/>
        <v>13.199999999999969</v>
      </c>
      <c r="B136" s="11">
        <f t="shared" si="33"/>
        <v>11.047979797979822</v>
      </c>
      <c r="C136" s="13">
        <f t="shared" si="34"/>
        <v>55.23989898989911</v>
      </c>
      <c r="D136" s="11">
        <f t="shared" si="35"/>
        <v>220.95959595959644</v>
      </c>
      <c r="E136" s="11">
        <f t="shared" si="36"/>
        <v>2651.5151515151574</v>
      </c>
      <c r="F136" s="14">
        <f t="shared" si="37"/>
        <v>0.73653198653198815</v>
      </c>
      <c r="G136" s="6"/>
      <c r="H136" s="115">
        <f t="shared" si="38"/>
        <v>197.99999999999955</v>
      </c>
      <c r="I136" s="115">
        <f t="shared" si="39"/>
        <v>989.99999999999773</v>
      </c>
      <c r="J136" s="115">
        <f t="shared" si="40"/>
        <v>6022.4999999999864</v>
      </c>
      <c r="K136" s="115">
        <f t="shared" si="41"/>
        <v>47519.999999999891</v>
      </c>
      <c r="L136" s="6"/>
      <c r="M136" s="11">
        <f t="shared" si="42"/>
        <v>25.252525252525309</v>
      </c>
    </row>
    <row r="137" spans="1:13">
      <c r="A137" s="115">
        <f t="shared" si="32"/>
        <v>13.299999999999969</v>
      </c>
      <c r="B137" s="11">
        <f t="shared" si="33"/>
        <v>10.964912280701778</v>
      </c>
      <c r="C137" s="13">
        <f t="shared" si="34"/>
        <v>54.824561403508895</v>
      </c>
      <c r="D137" s="11">
        <f t="shared" si="35"/>
        <v>219.29824561403561</v>
      </c>
      <c r="E137" s="11">
        <f t="shared" si="36"/>
        <v>2631.5789473684272</v>
      </c>
      <c r="F137" s="14">
        <f t="shared" si="37"/>
        <v>0.73099415204678519</v>
      </c>
      <c r="G137" s="6"/>
      <c r="H137" s="115">
        <f t="shared" si="38"/>
        <v>199.49999999999955</v>
      </c>
      <c r="I137" s="115">
        <f t="shared" si="39"/>
        <v>997.49999999999773</v>
      </c>
      <c r="J137" s="115">
        <f t="shared" si="40"/>
        <v>6068.1249999999864</v>
      </c>
      <c r="K137" s="115">
        <f t="shared" si="41"/>
        <v>47879.999999999891</v>
      </c>
      <c r="L137" s="6"/>
      <c r="M137" s="11">
        <f t="shared" si="42"/>
        <v>25.062656641604068</v>
      </c>
    </row>
    <row r="138" spans="1:13">
      <c r="A138" s="115">
        <f t="shared" si="32"/>
        <v>13.399999999999968</v>
      </c>
      <c r="B138" s="11">
        <f t="shared" si="33"/>
        <v>10.883084577114452</v>
      </c>
      <c r="C138" s="13">
        <f t="shared" si="34"/>
        <v>54.415422885572262</v>
      </c>
      <c r="D138" s="11">
        <f t="shared" si="35"/>
        <v>217.66169154228905</v>
      </c>
      <c r="E138" s="11">
        <f t="shared" si="36"/>
        <v>2611.9402985074685</v>
      </c>
      <c r="F138" s="14">
        <f t="shared" si="37"/>
        <v>0.72553897180763016</v>
      </c>
      <c r="G138" s="6"/>
      <c r="H138" s="115">
        <f t="shared" si="38"/>
        <v>200.99999999999952</v>
      </c>
      <c r="I138" s="115">
        <f t="shared" si="39"/>
        <v>1004.9999999999976</v>
      </c>
      <c r="J138" s="115">
        <f t="shared" si="40"/>
        <v>6113.7499999999854</v>
      </c>
      <c r="K138" s="115">
        <f t="shared" si="41"/>
        <v>48239.999999999884</v>
      </c>
      <c r="L138" s="6"/>
      <c r="M138" s="11">
        <f t="shared" si="42"/>
        <v>24.875621890547322</v>
      </c>
    </row>
    <row r="139" spans="1:13">
      <c r="A139" s="115">
        <f t="shared" si="32"/>
        <v>13.499999999999968</v>
      </c>
      <c r="B139" s="11">
        <f t="shared" si="33"/>
        <v>10.802469135802493</v>
      </c>
      <c r="C139" s="13">
        <f t="shared" si="34"/>
        <v>54.012345679012469</v>
      </c>
      <c r="D139" s="11">
        <f t="shared" si="35"/>
        <v>216.04938271604988</v>
      </c>
      <c r="E139" s="11">
        <f t="shared" si="36"/>
        <v>2592.5925925925985</v>
      </c>
      <c r="F139" s="14">
        <f t="shared" si="37"/>
        <v>0.72016460905349955</v>
      </c>
      <c r="G139" s="6"/>
      <c r="H139" s="115">
        <f t="shared" si="38"/>
        <v>202.49999999999952</v>
      </c>
      <c r="I139" s="115">
        <f t="shared" si="39"/>
        <v>1012.4999999999976</v>
      </c>
      <c r="J139" s="115">
        <f t="shared" si="40"/>
        <v>6159.3749999999854</v>
      </c>
      <c r="K139" s="115">
        <f t="shared" si="41"/>
        <v>48599.999999999884</v>
      </c>
      <c r="L139" s="6"/>
      <c r="M139" s="11">
        <f t="shared" si="42"/>
        <v>24.691358024691418</v>
      </c>
    </row>
    <row r="140" spans="1:13">
      <c r="A140" s="115">
        <f t="shared" si="32"/>
        <v>13.599999999999968</v>
      </c>
      <c r="B140" s="11">
        <f t="shared" si="33"/>
        <v>10.723039215686299</v>
      </c>
      <c r="C140" s="13">
        <f t="shared" si="34"/>
        <v>53.615196078431495</v>
      </c>
      <c r="D140" s="11">
        <f t="shared" si="35"/>
        <v>214.46078431372598</v>
      </c>
      <c r="E140" s="11">
        <f t="shared" si="36"/>
        <v>2573.5294117647118</v>
      </c>
      <c r="F140" s="14">
        <f t="shared" si="37"/>
        <v>0.71486928104575331</v>
      </c>
      <c r="G140" s="6"/>
      <c r="H140" s="115">
        <f t="shared" si="38"/>
        <v>203.99999999999952</v>
      </c>
      <c r="I140" s="115">
        <f t="shared" si="39"/>
        <v>1019.9999999999976</v>
      </c>
      <c r="J140" s="115">
        <f t="shared" si="40"/>
        <v>6204.9999999999854</v>
      </c>
      <c r="K140" s="115">
        <f t="shared" si="41"/>
        <v>48959.999999999884</v>
      </c>
      <c r="L140" s="6"/>
      <c r="M140" s="11">
        <f t="shared" si="42"/>
        <v>24.509803921568686</v>
      </c>
    </row>
    <row r="141" spans="1:13">
      <c r="A141" s="115">
        <f t="shared" si="32"/>
        <v>13.699999999999967</v>
      </c>
      <c r="B141" s="11">
        <f t="shared" si="33"/>
        <v>10.644768856447712</v>
      </c>
      <c r="C141" s="13">
        <f t="shared" si="34"/>
        <v>53.223844282238559</v>
      </c>
      <c r="D141" s="11">
        <f t="shared" si="35"/>
        <v>212.89537712895424</v>
      </c>
      <c r="E141" s="11">
        <f t="shared" si="36"/>
        <v>2554.7445255474508</v>
      </c>
      <c r="F141" s="14">
        <f t="shared" si="37"/>
        <v>0.70965125709651411</v>
      </c>
      <c r="G141" s="6"/>
      <c r="H141" s="115">
        <f t="shared" si="38"/>
        <v>205.49999999999952</v>
      </c>
      <c r="I141" s="115">
        <f t="shared" si="39"/>
        <v>1027.4999999999975</v>
      </c>
      <c r="J141" s="115">
        <f t="shared" si="40"/>
        <v>6250.6249999999854</v>
      </c>
      <c r="K141" s="115">
        <f t="shared" si="41"/>
        <v>49319.999999999884</v>
      </c>
      <c r="L141" s="6"/>
      <c r="M141" s="11">
        <f t="shared" si="42"/>
        <v>24.33090024330906</v>
      </c>
    </row>
    <row r="142" spans="1:13">
      <c r="A142" s="115">
        <f t="shared" si="32"/>
        <v>13.799999999999967</v>
      </c>
      <c r="B142" s="11">
        <f t="shared" si="33"/>
        <v>10.567632850241569</v>
      </c>
      <c r="C142" s="13">
        <f t="shared" si="34"/>
        <v>52.838164251207843</v>
      </c>
      <c r="D142" s="11">
        <f t="shared" si="35"/>
        <v>211.35265700483137</v>
      </c>
      <c r="E142" s="11">
        <f t="shared" si="36"/>
        <v>2536.2318840579765</v>
      </c>
      <c r="F142" s="14">
        <f t="shared" si="37"/>
        <v>0.7045088566827713</v>
      </c>
      <c r="G142" s="6"/>
      <c r="H142" s="115">
        <f t="shared" si="38"/>
        <v>206.99999999999952</v>
      </c>
      <c r="I142" s="115">
        <f t="shared" si="39"/>
        <v>1034.9999999999975</v>
      </c>
      <c r="J142" s="115">
        <f t="shared" si="40"/>
        <v>6296.2499999999854</v>
      </c>
      <c r="K142" s="115">
        <f t="shared" si="41"/>
        <v>49679.999999999884</v>
      </c>
      <c r="L142" s="6"/>
      <c r="M142" s="11">
        <f t="shared" si="42"/>
        <v>24.154589371980734</v>
      </c>
    </row>
    <row r="143" spans="1:13">
      <c r="A143" s="115">
        <f t="shared" si="32"/>
        <v>13.899999999999967</v>
      </c>
      <c r="B143" s="11">
        <f t="shared" si="33"/>
        <v>10.491606714628322</v>
      </c>
      <c r="C143" s="13">
        <f t="shared" si="34"/>
        <v>52.458033573141606</v>
      </c>
      <c r="D143" s="11">
        <f t="shared" si="35"/>
        <v>209.83213429256639</v>
      </c>
      <c r="E143" s="11">
        <f t="shared" si="36"/>
        <v>2517.9856115107968</v>
      </c>
      <c r="F143" s="14">
        <f t="shared" si="37"/>
        <v>0.69944044764188817</v>
      </c>
      <c r="G143" s="6"/>
      <c r="H143" s="115">
        <f t="shared" si="38"/>
        <v>208.49999999999949</v>
      </c>
      <c r="I143" s="115">
        <f t="shared" si="39"/>
        <v>1042.4999999999975</v>
      </c>
      <c r="J143" s="115">
        <f t="shared" si="40"/>
        <v>6341.8749999999845</v>
      </c>
      <c r="K143" s="115">
        <f t="shared" si="41"/>
        <v>50039.999999999884</v>
      </c>
      <c r="L143" s="6"/>
      <c r="M143" s="11">
        <f t="shared" si="42"/>
        <v>23.980815347721883</v>
      </c>
    </row>
    <row r="144" spans="1:13">
      <c r="A144" s="115">
        <f t="shared" si="32"/>
        <v>13.999999999999966</v>
      </c>
      <c r="B144" s="11">
        <f t="shared" si="33"/>
        <v>10.416666666666691</v>
      </c>
      <c r="C144" s="13">
        <f t="shared" si="34"/>
        <v>52.083333333333456</v>
      </c>
      <c r="D144" s="11">
        <f t="shared" si="35"/>
        <v>208.33333333333383</v>
      </c>
      <c r="E144" s="11">
        <f t="shared" si="36"/>
        <v>2500.0000000000059</v>
      </c>
      <c r="F144" s="14">
        <f t="shared" si="37"/>
        <v>0.69444444444444609</v>
      </c>
      <c r="G144" s="6"/>
      <c r="H144" s="115">
        <f t="shared" si="38"/>
        <v>209.99999999999949</v>
      </c>
      <c r="I144" s="115">
        <f t="shared" si="39"/>
        <v>1049.9999999999975</v>
      </c>
      <c r="J144" s="115">
        <f t="shared" si="40"/>
        <v>6387.4999999999845</v>
      </c>
      <c r="K144" s="115">
        <f t="shared" si="41"/>
        <v>50399.999999999884</v>
      </c>
      <c r="L144" s="6"/>
      <c r="M144" s="11">
        <f t="shared" si="42"/>
        <v>23.809523809523867</v>
      </c>
    </row>
    <row r="145" spans="1:13">
      <c r="A145" s="115">
        <f t="shared" si="32"/>
        <v>14.099999999999966</v>
      </c>
      <c r="B145" s="11">
        <f t="shared" si="33"/>
        <v>10.342789598108771</v>
      </c>
      <c r="C145" s="13">
        <f t="shared" si="34"/>
        <v>51.713947990543858</v>
      </c>
      <c r="D145" s="11">
        <f t="shared" si="35"/>
        <v>206.85579196217543</v>
      </c>
      <c r="E145" s="11">
        <f t="shared" si="36"/>
        <v>2482.2695035461052</v>
      </c>
      <c r="F145" s="14">
        <f t="shared" si="37"/>
        <v>0.6895193065405848</v>
      </c>
      <c r="G145" s="6"/>
      <c r="H145" s="115">
        <f t="shared" si="38"/>
        <v>211.49999999999949</v>
      </c>
      <c r="I145" s="115">
        <f t="shared" si="39"/>
        <v>1057.4999999999975</v>
      </c>
      <c r="J145" s="115">
        <f t="shared" si="40"/>
        <v>6433.1249999999845</v>
      </c>
      <c r="K145" s="115">
        <f t="shared" si="41"/>
        <v>50759.999999999884</v>
      </c>
      <c r="L145" s="6"/>
      <c r="M145" s="11">
        <f t="shared" si="42"/>
        <v>23.640661938534336</v>
      </c>
    </row>
    <row r="146" spans="1:13">
      <c r="A146" s="115">
        <f t="shared" si="32"/>
        <v>14.199999999999966</v>
      </c>
      <c r="B146" s="11">
        <f t="shared" si="33"/>
        <v>10.269953051643217</v>
      </c>
      <c r="C146" s="13">
        <f t="shared" si="34"/>
        <v>51.349765258216081</v>
      </c>
      <c r="D146" s="11">
        <f t="shared" si="35"/>
        <v>205.39906103286432</v>
      </c>
      <c r="E146" s="11">
        <f t="shared" si="36"/>
        <v>2464.7887323943719</v>
      </c>
      <c r="F146" s="14">
        <f t="shared" si="37"/>
        <v>0.6846635367762145</v>
      </c>
      <c r="G146" s="6"/>
      <c r="H146" s="115">
        <f t="shared" si="38"/>
        <v>212.99999999999949</v>
      </c>
      <c r="I146" s="115">
        <f t="shared" si="39"/>
        <v>1064.9999999999975</v>
      </c>
      <c r="J146" s="115">
        <f t="shared" si="40"/>
        <v>6478.7499999999845</v>
      </c>
      <c r="K146" s="115">
        <f t="shared" si="41"/>
        <v>51119.999999999884</v>
      </c>
      <c r="L146" s="6"/>
      <c r="M146" s="11">
        <f t="shared" si="42"/>
        <v>23.474178403755925</v>
      </c>
    </row>
    <row r="147" spans="1:13">
      <c r="A147" s="115">
        <f t="shared" si="32"/>
        <v>14.299999999999965</v>
      </c>
      <c r="B147" s="11">
        <f t="shared" si="33"/>
        <v>10.198135198135221</v>
      </c>
      <c r="C147" s="13">
        <f t="shared" si="34"/>
        <v>50.990675990676102</v>
      </c>
      <c r="D147" s="11">
        <f t="shared" si="35"/>
        <v>203.96270396270441</v>
      </c>
      <c r="E147" s="11">
        <f t="shared" si="36"/>
        <v>2447.552447552453</v>
      </c>
      <c r="F147" s="14">
        <f t="shared" si="37"/>
        <v>0.67987567987568143</v>
      </c>
      <c r="G147" s="6"/>
      <c r="H147" s="115">
        <f t="shared" si="38"/>
        <v>214.49999999999949</v>
      </c>
      <c r="I147" s="115">
        <f t="shared" si="39"/>
        <v>1072.4999999999975</v>
      </c>
      <c r="J147" s="115">
        <f t="shared" si="40"/>
        <v>6524.3749999999845</v>
      </c>
      <c r="K147" s="115">
        <f t="shared" si="41"/>
        <v>51479.999999999884</v>
      </c>
      <c r="L147" s="6"/>
      <c r="M147" s="11">
        <f t="shared" si="42"/>
        <v>23.310023310023364</v>
      </c>
    </row>
    <row r="148" spans="1:13">
      <c r="A148" s="115">
        <f t="shared" si="32"/>
        <v>14.399999999999965</v>
      </c>
      <c r="B148" s="11">
        <f t="shared" si="33"/>
        <v>10.127314814814838</v>
      </c>
      <c r="C148" s="13">
        <f t="shared" si="34"/>
        <v>50.63657407407419</v>
      </c>
      <c r="D148" s="11">
        <f t="shared" si="35"/>
        <v>202.54629629629676</v>
      </c>
      <c r="E148" s="11">
        <f t="shared" si="36"/>
        <v>2430.5555555555611</v>
      </c>
      <c r="F148" s="14">
        <f t="shared" si="37"/>
        <v>0.67515432098765582</v>
      </c>
      <c r="G148" s="6"/>
      <c r="H148" s="115">
        <f t="shared" si="38"/>
        <v>215.99999999999946</v>
      </c>
      <c r="I148" s="115">
        <f t="shared" si="39"/>
        <v>1079.9999999999973</v>
      </c>
      <c r="J148" s="115">
        <f t="shared" si="40"/>
        <v>6569.9999999999827</v>
      </c>
      <c r="K148" s="115">
        <f t="shared" si="41"/>
        <v>51839.999999999869</v>
      </c>
      <c r="L148" s="6"/>
      <c r="M148" s="11">
        <f t="shared" si="42"/>
        <v>23.148148148148206</v>
      </c>
    </row>
    <row r="149" spans="1:13">
      <c r="A149" s="115">
        <f t="shared" si="32"/>
        <v>14.499999999999964</v>
      </c>
      <c r="B149" s="11">
        <f t="shared" si="33"/>
        <v>10.057471264367839</v>
      </c>
      <c r="C149" s="13">
        <f t="shared" si="34"/>
        <v>50.287356321839198</v>
      </c>
      <c r="D149" s="11">
        <f t="shared" si="35"/>
        <v>201.14942528735682</v>
      </c>
      <c r="E149" s="11">
        <f t="shared" si="36"/>
        <v>2413.7931034482817</v>
      </c>
      <c r="F149" s="14">
        <f t="shared" si="37"/>
        <v>0.67049808429118929</v>
      </c>
      <c r="G149" s="6"/>
      <c r="H149" s="115">
        <f t="shared" si="38"/>
        <v>217.49999999999946</v>
      </c>
      <c r="I149" s="115">
        <f t="shared" si="39"/>
        <v>1087.4999999999973</v>
      </c>
      <c r="J149" s="115">
        <f t="shared" si="40"/>
        <v>6615.6249999999827</v>
      </c>
      <c r="K149" s="115">
        <f t="shared" si="41"/>
        <v>52199.999999999869</v>
      </c>
      <c r="L149" s="6"/>
      <c r="M149" s="11">
        <f t="shared" si="42"/>
        <v>22.988505747126492</v>
      </c>
    </row>
    <row r="150" spans="1:13">
      <c r="A150" s="115">
        <f t="shared" si="32"/>
        <v>14.599999999999964</v>
      </c>
      <c r="B150" s="11">
        <f t="shared" si="33"/>
        <v>9.9885844748858688</v>
      </c>
      <c r="C150" s="13">
        <f t="shared" si="34"/>
        <v>49.942922374429344</v>
      </c>
      <c r="D150" s="11">
        <f t="shared" si="35"/>
        <v>199.77168949771738</v>
      </c>
      <c r="E150" s="11">
        <f t="shared" si="36"/>
        <v>2397.2602739726085</v>
      </c>
      <c r="F150" s="14">
        <f t="shared" si="37"/>
        <v>0.66590563165905792</v>
      </c>
      <c r="G150" s="6"/>
      <c r="H150" s="115">
        <f t="shared" si="38"/>
        <v>218.99999999999946</v>
      </c>
      <c r="I150" s="115">
        <f t="shared" si="39"/>
        <v>1094.9999999999973</v>
      </c>
      <c r="J150" s="115">
        <f t="shared" si="40"/>
        <v>6661.2499999999827</v>
      </c>
      <c r="K150" s="115">
        <f t="shared" si="41"/>
        <v>52559.999999999869</v>
      </c>
      <c r="L150" s="6"/>
      <c r="M150" s="11">
        <f t="shared" si="42"/>
        <v>22.831050228310559</v>
      </c>
    </row>
    <row r="151" spans="1:13">
      <c r="A151" s="115">
        <f t="shared" si="32"/>
        <v>14.699999999999964</v>
      </c>
      <c r="B151" s="11">
        <f t="shared" si="33"/>
        <v>9.920634920634944</v>
      </c>
      <c r="C151" s="13">
        <f t="shared" si="34"/>
        <v>49.603174603174722</v>
      </c>
      <c r="D151" s="11">
        <f t="shared" si="35"/>
        <v>198.41269841269889</v>
      </c>
      <c r="E151" s="11">
        <f t="shared" si="36"/>
        <v>2380.9523809523866</v>
      </c>
      <c r="F151" s="14">
        <f t="shared" si="37"/>
        <v>0.66137566137566295</v>
      </c>
      <c r="G151" s="6"/>
      <c r="H151" s="115">
        <f t="shared" si="38"/>
        <v>220.49999999999946</v>
      </c>
      <c r="I151" s="115">
        <f t="shared" si="39"/>
        <v>1102.4999999999973</v>
      </c>
      <c r="J151" s="115">
        <f t="shared" si="40"/>
        <v>6706.8749999999827</v>
      </c>
      <c r="K151" s="115">
        <f t="shared" si="41"/>
        <v>52919.999999999869</v>
      </c>
      <c r="L151" s="6"/>
      <c r="M151" s="11">
        <f t="shared" si="42"/>
        <v>22.675736961451303</v>
      </c>
    </row>
    <row r="152" spans="1:13">
      <c r="A152" s="115">
        <f t="shared" si="32"/>
        <v>14.799999999999963</v>
      </c>
      <c r="B152" s="11">
        <f t="shared" si="33"/>
        <v>9.8536036036036272</v>
      </c>
      <c r="C152" s="13">
        <f t="shared" si="34"/>
        <v>49.26801801801814</v>
      </c>
      <c r="D152" s="11">
        <f t="shared" si="35"/>
        <v>197.07207207207253</v>
      </c>
      <c r="E152" s="11">
        <f t="shared" si="36"/>
        <v>2364.8648648648705</v>
      </c>
      <c r="F152" s="14">
        <f t="shared" si="37"/>
        <v>0.65690690690690845</v>
      </c>
      <c r="G152" s="6"/>
      <c r="H152" s="115">
        <f t="shared" si="38"/>
        <v>221.99999999999946</v>
      </c>
      <c r="I152" s="115">
        <f t="shared" si="39"/>
        <v>1109.9999999999973</v>
      </c>
      <c r="J152" s="115">
        <f t="shared" si="40"/>
        <v>6752.4999999999827</v>
      </c>
      <c r="K152" s="115">
        <f t="shared" si="41"/>
        <v>53279.999999999869</v>
      </c>
      <c r="L152" s="6"/>
      <c r="M152" s="11">
        <f t="shared" si="42"/>
        <v>22.522522522522578</v>
      </c>
    </row>
    <row r="153" spans="1:13">
      <c r="A153" s="115">
        <f t="shared" si="32"/>
        <v>14.899999999999963</v>
      </c>
      <c r="B153" s="11">
        <f t="shared" si="33"/>
        <v>9.787472035794206</v>
      </c>
      <c r="C153" s="13">
        <f t="shared" si="34"/>
        <v>48.937360178971034</v>
      </c>
      <c r="D153" s="11">
        <f t="shared" si="35"/>
        <v>195.74944071588413</v>
      </c>
      <c r="E153" s="11">
        <f t="shared" si="36"/>
        <v>2348.9932885906096</v>
      </c>
      <c r="F153" s="14">
        <f t="shared" si="37"/>
        <v>0.65249813571961368</v>
      </c>
      <c r="G153" s="6"/>
      <c r="H153" s="115">
        <f t="shared" si="38"/>
        <v>223.49999999999943</v>
      </c>
      <c r="I153" s="115">
        <f t="shared" si="39"/>
        <v>1117.4999999999973</v>
      </c>
      <c r="J153" s="115">
        <f t="shared" si="40"/>
        <v>6798.1249999999827</v>
      </c>
      <c r="K153" s="115">
        <f t="shared" si="41"/>
        <v>53639.999999999869</v>
      </c>
      <c r="L153" s="6"/>
      <c r="M153" s="11">
        <f t="shared" si="42"/>
        <v>22.371364653243905</v>
      </c>
    </row>
    <row r="154" spans="1:13">
      <c r="A154" s="115">
        <f t="shared" si="32"/>
        <v>14.999999999999963</v>
      </c>
      <c r="B154" s="11">
        <f t="shared" si="33"/>
        <v>9.7222222222222445</v>
      </c>
      <c r="C154" s="13">
        <f t="shared" si="34"/>
        <v>48.611111111111221</v>
      </c>
      <c r="D154" s="11">
        <f t="shared" si="35"/>
        <v>194.44444444444488</v>
      </c>
      <c r="E154" s="11">
        <f t="shared" si="36"/>
        <v>2333.3333333333385</v>
      </c>
      <c r="F154" s="14">
        <f t="shared" si="37"/>
        <v>0.64814814814814958</v>
      </c>
      <c r="G154" s="6"/>
      <c r="H154" s="115">
        <f t="shared" si="38"/>
        <v>224.99999999999943</v>
      </c>
      <c r="I154" s="115">
        <f t="shared" si="39"/>
        <v>1124.9999999999973</v>
      </c>
      <c r="J154" s="115">
        <f t="shared" si="40"/>
        <v>6843.7499999999827</v>
      </c>
      <c r="K154" s="115">
        <f t="shared" si="41"/>
        <v>53999.999999999869</v>
      </c>
      <c r="L154" s="6"/>
      <c r="M154" s="11">
        <f t="shared" si="42"/>
        <v>22.222222222222278</v>
      </c>
    </row>
    <row r="155" spans="1:13">
      <c r="A155" s="115">
        <f t="shared" si="32"/>
        <v>15.099999999999962</v>
      </c>
      <c r="B155" s="11">
        <f t="shared" si="33"/>
        <v>9.6578366445916348</v>
      </c>
      <c r="C155" s="13">
        <f t="shared" si="34"/>
        <v>48.289183222958172</v>
      </c>
      <c r="D155" s="11">
        <f t="shared" si="35"/>
        <v>193.15673289183269</v>
      </c>
      <c r="E155" s="11">
        <f t="shared" si="36"/>
        <v>2317.8807947019923</v>
      </c>
      <c r="F155" s="14">
        <f t="shared" si="37"/>
        <v>0.64385577630610902</v>
      </c>
      <c r="G155" s="6"/>
      <c r="H155" s="115">
        <f t="shared" si="38"/>
        <v>226.49999999999943</v>
      </c>
      <c r="I155" s="115">
        <f t="shared" si="39"/>
        <v>1132.4999999999973</v>
      </c>
      <c r="J155" s="115">
        <f t="shared" si="40"/>
        <v>6889.3749999999827</v>
      </c>
      <c r="K155" s="115">
        <f t="shared" si="41"/>
        <v>54359.999999999869</v>
      </c>
      <c r="L155" s="6"/>
      <c r="M155" s="11">
        <f t="shared" si="42"/>
        <v>22.075055187638025</v>
      </c>
    </row>
    <row r="156" spans="1:13">
      <c r="A156" s="115">
        <f t="shared" si="32"/>
        <v>15.199999999999962</v>
      </c>
      <c r="B156" s="11">
        <f t="shared" si="33"/>
        <v>9.5942982456140573</v>
      </c>
      <c r="C156" s="13">
        <f t="shared" si="34"/>
        <v>47.971491228070285</v>
      </c>
      <c r="D156" s="11">
        <f t="shared" si="35"/>
        <v>191.88596491228114</v>
      </c>
      <c r="E156" s="11">
        <f t="shared" si="36"/>
        <v>2302.6315789473738</v>
      </c>
      <c r="F156" s="14">
        <f t="shared" si="37"/>
        <v>0.6396198830409372</v>
      </c>
      <c r="G156" s="6"/>
      <c r="H156" s="115">
        <f t="shared" si="38"/>
        <v>227.99999999999943</v>
      </c>
      <c r="I156" s="115">
        <f t="shared" si="39"/>
        <v>1139.9999999999973</v>
      </c>
      <c r="J156" s="115">
        <f t="shared" si="40"/>
        <v>6934.9999999999827</v>
      </c>
      <c r="K156" s="115">
        <f t="shared" si="41"/>
        <v>54719.999999999869</v>
      </c>
      <c r="L156" s="6"/>
      <c r="M156" s="11">
        <f t="shared" si="42"/>
        <v>21.929824561403564</v>
      </c>
    </row>
    <row r="157" spans="1:13">
      <c r="A157" s="115">
        <f t="shared" si="32"/>
        <v>15.299999999999962</v>
      </c>
      <c r="B157" s="11">
        <f t="shared" si="33"/>
        <v>9.5315904139433769</v>
      </c>
      <c r="C157" s="13">
        <f t="shared" si="34"/>
        <v>47.657952069716885</v>
      </c>
      <c r="D157" s="11">
        <f t="shared" si="35"/>
        <v>190.63180827886754</v>
      </c>
      <c r="E157" s="11">
        <f t="shared" si="36"/>
        <v>2287.5816993464105</v>
      </c>
      <c r="F157" s="14">
        <f t="shared" si="37"/>
        <v>0.63543936092955844</v>
      </c>
      <c r="G157" s="6"/>
      <c r="H157" s="115">
        <f t="shared" si="38"/>
        <v>229.49999999999943</v>
      </c>
      <c r="I157" s="115">
        <f t="shared" si="39"/>
        <v>1147.4999999999973</v>
      </c>
      <c r="J157" s="115">
        <f t="shared" si="40"/>
        <v>6980.6249999999827</v>
      </c>
      <c r="K157" s="115">
        <f t="shared" si="41"/>
        <v>55079.999999999869</v>
      </c>
      <c r="L157" s="6"/>
      <c r="M157" s="11">
        <f t="shared" si="42"/>
        <v>21.786492374727722</v>
      </c>
    </row>
    <row r="158" spans="1:13">
      <c r="A158" s="115">
        <f t="shared" si="32"/>
        <v>15.399999999999961</v>
      </c>
      <c r="B158" s="11">
        <f t="shared" si="33"/>
        <v>9.4696969696969919</v>
      </c>
      <c r="C158" s="13">
        <f t="shared" si="34"/>
        <v>47.348484848484958</v>
      </c>
      <c r="D158" s="11">
        <f t="shared" si="35"/>
        <v>189.39393939393983</v>
      </c>
      <c r="E158" s="11">
        <f t="shared" si="36"/>
        <v>2272.727272727278</v>
      </c>
      <c r="F158" s="14">
        <f t="shared" si="37"/>
        <v>0.63131313131313282</v>
      </c>
      <c r="G158" s="6"/>
      <c r="H158" s="115">
        <f t="shared" si="38"/>
        <v>230.99999999999943</v>
      </c>
      <c r="I158" s="115">
        <f t="shared" si="39"/>
        <v>1154.9999999999973</v>
      </c>
      <c r="J158" s="115">
        <f t="shared" si="40"/>
        <v>7026.2499999999827</v>
      </c>
      <c r="K158" s="115">
        <f t="shared" si="41"/>
        <v>55439.999999999869</v>
      </c>
      <c r="L158" s="6"/>
      <c r="M158" s="11">
        <f t="shared" si="42"/>
        <v>21.6450216450217</v>
      </c>
    </row>
    <row r="159" spans="1:13">
      <c r="A159" s="115">
        <f t="shared" si="32"/>
        <v>15.499999999999961</v>
      </c>
      <c r="B159" s="11">
        <f t="shared" si="33"/>
        <v>9.4086021505376571</v>
      </c>
      <c r="C159" s="13">
        <f t="shared" si="34"/>
        <v>47.043010752688289</v>
      </c>
      <c r="D159" s="11">
        <f t="shared" si="35"/>
        <v>188.17204301075313</v>
      </c>
      <c r="E159" s="11">
        <f t="shared" si="36"/>
        <v>2258.0645161290377</v>
      </c>
      <c r="F159" s="14">
        <f t="shared" si="37"/>
        <v>0.62724014336917711</v>
      </c>
      <c r="G159" s="6"/>
      <c r="H159" s="115">
        <f t="shared" si="38"/>
        <v>232.4999999999994</v>
      </c>
      <c r="I159" s="115">
        <f t="shared" si="39"/>
        <v>1162.499999999997</v>
      </c>
      <c r="J159" s="115">
        <f t="shared" si="40"/>
        <v>7071.8749999999818</v>
      </c>
      <c r="K159" s="115">
        <f t="shared" si="41"/>
        <v>55799.999999999854</v>
      </c>
      <c r="L159" s="6"/>
      <c r="M159" s="11">
        <f t="shared" si="42"/>
        <v>21.505376344086077</v>
      </c>
    </row>
    <row r="160" spans="1:13">
      <c r="A160" s="115">
        <f t="shared" si="32"/>
        <v>15.599999999999961</v>
      </c>
      <c r="B160" s="11">
        <f t="shared" si="33"/>
        <v>9.348290598290621</v>
      </c>
      <c r="C160" s="13">
        <f t="shared" si="34"/>
        <v>46.741452991453102</v>
      </c>
      <c r="D160" s="11">
        <f t="shared" si="35"/>
        <v>186.96581196581238</v>
      </c>
      <c r="E160" s="11">
        <f t="shared" si="36"/>
        <v>2243.5897435897487</v>
      </c>
      <c r="F160" s="14">
        <f t="shared" si="37"/>
        <v>0.62321937321937471</v>
      </c>
      <c r="G160" s="6"/>
      <c r="H160" s="115">
        <f t="shared" si="38"/>
        <v>233.9999999999994</v>
      </c>
      <c r="I160" s="115">
        <f t="shared" si="39"/>
        <v>1169.999999999997</v>
      </c>
      <c r="J160" s="115">
        <f t="shared" si="40"/>
        <v>7117.4999999999818</v>
      </c>
      <c r="K160" s="115">
        <f t="shared" si="41"/>
        <v>56159.999999999854</v>
      </c>
      <c r="L160" s="6"/>
      <c r="M160" s="11">
        <f t="shared" si="42"/>
        <v>21.367521367521423</v>
      </c>
    </row>
    <row r="161" spans="1:13">
      <c r="A161" s="115">
        <f t="shared" si="32"/>
        <v>15.69999999999996</v>
      </c>
      <c r="B161" s="11">
        <f t="shared" si="33"/>
        <v>9.2887473460722099</v>
      </c>
      <c r="C161" s="13">
        <f t="shared" si="34"/>
        <v>46.443736730361053</v>
      </c>
      <c r="D161" s="11">
        <f t="shared" si="35"/>
        <v>185.77494692144421</v>
      </c>
      <c r="E161" s="11">
        <f t="shared" si="36"/>
        <v>2229.2993630573305</v>
      </c>
      <c r="F161" s="14">
        <f t="shared" si="37"/>
        <v>0.61924982307148069</v>
      </c>
      <c r="G161" s="6"/>
      <c r="H161" s="115">
        <f t="shared" si="38"/>
        <v>235.4999999999994</v>
      </c>
      <c r="I161" s="115">
        <f t="shared" si="39"/>
        <v>1177.499999999997</v>
      </c>
      <c r="J161" s="115">
        <f t="shared" si="40"/>
        <v>7163.1249999999818</v>
      </c>
      <c r="K161" s="115">
        <f t="shared" si="41"/>
        <v>56519.999999999854</v>
      </c>
      <c r="L161" s="6"/>
      <c r="M161" s="11">
        <f t="shared" si="42"/>
        <v>21.231422505307908</v>
      </c>
    </row>
    <row r="162" spans="1:13">
      <c r="A162" s="115">
        <f t="shared" si="32"/>
        <v>15.79999999999996</v>
      </c>
      <c r="B162" s="11">
        <f t="shared" si="33"/>
        <v>9.2299578059071958</v>
      </c>
      <c r="C162" s="13">
        <f t="shared" si="34"/>
        <v>46.149789029535981</v>
      </c>
      <c r="D162" s="11">
        <f t="shared" si="35"/>
        <v>184.59915611814392</v>
      </c>
      <c r="E162" s="11">
        <f t="shared" si="36"/>
        <v>2215.1898734177271</v>
      </c>
      <c r="F162" s="14">
        <f t="shared" si="37"/>
        <v>0.61533052039381309</v>
      </c>
      <c r="G162" s="6"/>
      <c r="H162" s="115">
        <f t="shared" si="38"/>
        <v>236.9999999999994</v>
      </c>
      <c r="I162" s="115">
        <f t="shared" si="39"/>
        <v>1184.999999999997</v>
      </c>
      <c r="J162" s="115">
        <f t="shared" si="40"/>
        <v>7208.7499999999818</v>
      </c>
      <c r="K162" s="115">
        <f t="shared" si="41"/>
        <v>56879.999999999854</v>
      </c>
      <c r="L162" s="6"/>
      <c r="M162" s="11">
        <f t="shared" si="42"/>
        <v>21.097046413502163</v>
      </c>
    </row>
    <row r="163" spans="1:13">
      <c r="A163" s="115">
        <f t="shared" si="32"/>
        <v>15.899999999999959</v>
      </c>
      <c r="B163" s="11">
        <f t="shared" si="33"/>
        <v>9.1719077568134395</v>
      </c>
      <c r="C163" s="13">
        <f t="shared" si="34"/>
        <v>45.859538784067198</v>
      </c>
      <c r="D163" s="11">
        <f t="shared" si="35"/>
        <v>183.43815513626882</v>
      </c>
      <c r="E163" s="11">
        <f t="shared" si="36"/>
        <v>2201.2578616352257</v>
      </c>
      <c r="F163" s="14">
        <f t="shared" si="37"/>
        <v>0.611460517120896</v>
      </c>
      <c r="G163" s="6"/>
      <c r="H163" s="115">
        <f t="shared" si="38"/>
        <v>238.4999999999994</v>
      </c>
      <c r="I163" s="115">
        <f t="shared" si="39"/>
        <v>1192.499999999997</v>
      </c>
      <c r="J163" s="115">
        <f t="shared" si="40"/>
        <v>7254.3749999999818</v>
      </c>
      <c r="K163" s="115">
        <f t="shared" si="41"/>
        <v>57239.999999999854</v>
      </c>
      <c r="L163" s="6"/>
      <c r="M163" s="11">
        <f t="shared" si="42"/>
        <v>20.964360587002147</v>
      </c>
    </row>
    <row r="164" spans="1:13">
      <c r="A164" s="115">
        <f t="shared" si="32"/>
        <v>15.999999999999959</v>
      </c>
      <c r="B164" s="11">
        <f t="shared" si="33"/>
        <v>9.1145833333333552</v>
      </c>
      <c r="C164" s="13">
        <f t="shared" si="34"/>
        <v>45.572916666666778</v>
      </c>
      <c r="D164" s="11">
        <f t="shared" si="35"/>
        <v>182.29166666666711</v>
      </c>
      <c r="E164" s="11">
        <f t="shared" si="36"/>
        <v>2187.5000000000055</v>
      </c>
      <c r="F164" s="14">
        <f t="shared" si="37"/>
        <v>0.60763888888889039</v>
      </c>
      <c r="G164" s="6"/>
      <c r="H164" s="115">
        <f t="shared" si="38"/>
        <v>239.99999999999937</v>
      </c>
      <c r="I164" s="115">
        <f t="shared" si="39"/>
        <v>1199.9999999999968</v>
      </c>
      <c r="J164" s="115">
        <f t="shared" si="40"/>
        <v>7299.9999999999809</v>
      </c>
      <c r="K164" s="115">
        <f t="shared" si="41"/>
        <v>57599.999999999847</v>
      </c>
      <c r="L164" s="6"/>
      <c r="M164" s="11">
        <f t="shared" si="42"/>
        <v>20.833333333333389</v>
      </c>
    </row>
    <row r="165" spans="1:13">
      <c r="A165" s="115">
        <f t="shared" si="32"/>
        <v>16.099999999999959</v>
      </c>
      <c r="B165" s="11">
        <f t="shared" si="33"/>
        <v>9.0579710144927752</v>
      </c>
      <c r="C165" s="13">
        <f t="shared" si="34"/>
        <v>45.28985507246388</v>
      </c>
      <c r="D165" s="11">
        <f t="shared" si="35"/>
        <v>181.15942028985555</v>
      </c>
      <c r="E165" s="11">
        <f t="shared" si="36"/>
        <v>2173.9130434782664</v>
      </c>
      <c r="F165" s="14">
        <f t="shared" si="37"/>
        <v>0.60386473429951837</v>
      </c>
      <c r="G165" s="6"/>
      <c r="H165" s="115">
        <f t="shared" si="38"/>
        <v>241.49999999999937</v>
      </c>
      <c r="I165" s="115">
        <f t="shared" si="39"/>
        <v>1207.4999999999968</v>
      </c>
      <c r="J165" s="115">
        <f t="shared" si="40"/>
        <v>7345.6249999999809</v>
      </c>
      <c r="K165" s="115">
        <f t="shared" si="41"/>
        <v>57959.999999999847</v>
      </c>
      <c r="L165" s="6"/>
      <c r="M165" s="11">
        <f t="shared" si="42"/>
        <v>20.703933747412062</v>
      </c>
    </row>
    <row r="166" spans="1:13">
      <c r="A166" s="115">
        <f t="shared" si="32"/>
        <v>16.19999999999996</v>
      </c>
      <c r="B166" s="11">
        <f t="shared" si="33"/>
        <v>9.0020576131687449</v>
      </c>
      <c r="C166" s="13">
        <f t="shared" si="34"/>
        <v>45.010288065843724</v>
      </c>
      <c r="D166" s="11">
        <f t="shared" si="35"/>
        <v>180.0411522633749</v>
      </c>
      <c r="E166" s="11">
        <f t="shared" si="36"/>
        <v>2160.4938271604988</v>
      </c>
      <c r="F166" s="14">
        <f t="shared" si="37"/>
        <v>0.60013717421124968</v>
      </c>
      <c r="G166" s="6"/>
      <c r="H166" s="115">
        <f t="shared" si="38"/>
        <v>242.9999999999994</v>
      </c>
      <c r="I166" s="115">
        <f t="shared" si="39"/>
        <v>1214.999999999997</v>
      </c>
      <c r="J166" s="115">
        <f t="shared" si="40"/>
        <v>7391.2499999999818</v>
      </c>
      <c r="K166" s="115">
        <f t="shared" si="41"/>
        <v>58319.999999999854</v>
      </c>
      <c r="L166" s="6"/>
      <c r="M166" s="11">
        <f t="shared" si="42"/>
        <v>20.576131687242849</v>
      </c>
    </row>
    <row r="167" spans="1:13">
      <c r="A167" s="115">
        <f t="shared" si="32"/>
        <v>16.299999999999962</v>
      </c>
      <c r="B167" s="11">
        <f t="shared" si="33"/>
        <v>8.9468302658486909</v>
      </c>
      <c r="C167" s="13">
        <f t="shared" si="34"/>
        <v>44.734151329243453</v>
      </c>
      <c r="D167" s="11">
        <f t="shared" si="35"/>
        <v>178.93660531697381</v>
      </c>
      <c r="E167" s="11">
        <f t="shared" si="36"/>
        <v>2147.2392638036858</v>
      </c>
      <c r="F167" s="14">
        <f t="shared" si="37"/>
        <v>0.59645535105657943</v>
      </c>
      <c r="G167" s="6"/>
      <c r="H167" s="115">
        <f t="shared" si="38"/>
        <v>244.49999999999943</v>
      </c>
      <c r="I167" s="115">
        <f t="shared" si="39"/>
        <v>1222.4999999999973</v>
      </c>
      <c r="J167" s="115">
        <f t="shared" si="40"/>
        <v>7436.8749999999827</v>
      </c>
      <c r="K167" s="115">
        <f t="shared" si="41"/>
        <v>58679.999999999869</v>
      </c>
      <c r="L167" s="6"/>
      <c r="M167" s="11">
        <f t="shared" si="42"/>
        <v>20.449897750511294</v>
      </c>
    </row>
    <row r="168" spans="1:13">
      <c r="A168" s="115">
        <f t="shared" si="32"/>
        <v>16.399999999999963</v>
      </c>
      <c r="B168" s="11">
        <f t="shared" si="33"/>
        <v>8.8922764227642457</v>
      </c>
      <c r="C168" s="13">
        <f t="shared" si="34"/>
        <v>44.46138211382123</v>
      </c>
      <c r="D168" s="11">
        <f t="shared" si="35"/>
        <v>177.84552845528492</v>
      </c>
      <c r="E168" s="11">
        <f t="shared" si="36"/>
        <v>2134.146341463419</v>
      </c>
      <c r="F168" s="14">
        <f t="shared" si="37"/>
        <v>0.5928184281842831</v>
      </c>
      <c r="G168" s="6"/>
      <c r="H168" s="115">
        <f t="shared" si="38"/>
        <v>245.99999999999943</v>
      </c>
      <c r="I168" s="115">
        <f t="shared" si="39"/>
        <v>1229.9999999999973</v>
      </c>
      <c r="J168" s="115">
        <f t="shared" si="40"/>
        <v>7482.4999999999827</v>
      </c>
      <c r="K168" s="115">
        <f t="shared" si="41"/>
        <v>59039.999999999869</v>
      </c>
      <c r="L168" s="6"/>
      <c r="M168" s="11">
        <f t="shared" si="42"/>
        <v>20.325203252032566</v>
      </c>
    </row>
    <row r="169" spans="1:13">
      <c r="A169" s="115">
        <f t="shared" si="32"/>
        <v>16.499999999999964</v>
      </c>
      <c r="B169" s="11">
        <f t="shared" si="33"/>
        <v>8.8383838383838569</v>
      </c>
      <c r="C169" s="13">
        <f t="shared" si="34"/>
        <v>44.191919191919283</v>
      </c>
      <c r="D169" s="11">
        <f t="shared" si="35"/>
        <v>176.76767676767713</v>
      </c>
      <c r="E169" s="11">
        <f t="shared" si="36"/>
        <v>2121.2121212121256</v>
      </c>
      <c r="F169" s="14">
        <f t="shared" si="37"/>
        <v>0.58922558922559043</v>
      </c>
      <c r="G169" s="6"/>
      <c r="H169" s="115">
        <f t="shared" si="38"/>
        <v>247.49999999999946</v>
      </c>
      <c r="I169" s="115">
        <f t="shared" si="39"/>
        <v>1237.4999999999973</v>
      </c>
      <c r="J169" s="115">
        <f t="shared" si="40"/>
        <v>7528.1249999999827</v>
      </c>
      <c r="K169" s="115">
        <f t="shared" si="41"/>
        <v>59399.999999999869</v>
      </c>
      <c r="L169" s="6"/>
      <c r="M169" s="11">
        <f t="shared" si="42"/>
        <v>20.202020202020247</v>
      </c>
    </row>
    <row r="170" spans="1:13">
      <c r="A170" s="115">
        <f t="shared" si="32"/>
        <v>16.599999999999966</v>
      </c>
      <c r="B170" s="11">
        <f t="shared" si="33"/>
        <v>8.7851405622490137</v>
      </c>
      <c r="C170" s="13">
        <f t="shared" si="34"/>
        <v>43.925702811245067</v>
      </c>
      <c r="D170" s="11">
        <f t="shared" si="35"/>
        <v>175.70281124498027</v>
      </c>
      <c r="E170" s="11">
        <f t="shared" si="36"/>
        <v>2108.4337349397633</v>
      </c>
      <c r="F170" s="14">
        <f t="shared" si="37"/>
        <v>0.58567603748326758</v>
      </c>
      <c r="G170" s="6"/>
      <c r="H170" s="115">
        <f t="shared" si="38"/>
        <v>248.99999999999949</v>
      </c>
      <c r="I170" s="115">
        <f t="shared" si="39"/>
        <v>1244.9999999999975</v>
      </c>
      <c r="J170" s="115">
        <f t="shared" si="40"/>
        <v>7573.7499999999845</v>
      </c>
      <c r="K170" s="115">
        <f t="shared" si="41"/>
        <v>59759.999999999884</v>
      </c>
      <c r="L170" s="6"/>
      <c r="M170" s="11">
        <f t="shared" si="42"/>
        <v>20.080321285140602</v>
      </c>
    </row>
    <row r="171" spans="1:13">
      <c r="A171" s="115">
        <f t="shared" si="32"/>
        <v>16.699999999999967</v>
      </c>
      <c r="B171" s="11">
        <f t="shared" si="33"/>
        <v>8.732534930139737</v>
      </c>
      <c r="C171" s="13">
        <f t="shared" si="34"/>
        <v>43.662674650698683</v>
      </c>
      <c r="D171" s="11">
        <f t="shared" si="35"/>
        <v>174.65069860279473</v>
      </c>
      <c r="E171" s="11">
        <f t="shared" si="36"/>
        <v>2095.8083832335369</v>
      </c>
      <c r="F171" s="14">
        <f t="shared" si="37"/>
        <v>0.5821689953426491</v>
      </c>
      <c r="G171" s="6"/>
      <c r="H171" s="115">
        <f t="shared" si="38"/>
        <v>250.49999999999952</v>
      </c>
      <c r="I171" s="115">
        <f t="shared" si="39"/>
        <v>1252.4999999999975</v>
      </c>
      <c r="J171" s="115">
        <f t="shared" si="40"/>
        <v>7619.3749999999854</v>
      </c>
      <c r="K171" s="115">
        <f t="shared" si="41"/>
        <v>60119.999999999884</v>
      </c>
      <c r="L171" s="6"/>
      <c r="M171" s="11">
        <f t="shared" si="42"/>
        <v>19.960079840319398</v>
      </c>
    </row>
    <row r="172" spans="1:13">
      <c r="A172" s="115">
        <f t="shared" si="32"/>
        <v>16.799999999999969</v>
      </c>
      <c r="B172" s="11">
        <f t="shared" si="33"/>
        <v>8.6805555555555713</v>
      </c>
      <c r="C172" s="13">
        <f t="shared" si="34"/>
        <v>43.402777777777857</v>
      </c>
      <c r="D172" s="11">
        <f t="shared" si="35"/>
        <v>173.61111111111143</v>
      </c>
      <c r="E172" s="11">
        <f t="shared" si="36"/>
        <v>2083.3333333333371</v>
      </c>
      <c r="F172" s="14">
        <f t="shared" si="37"/>
        <v>0.57870370370370472</v>
      </c>
      <c r="G172" s="6"/>
      <c r="H172" s="115">
        <f t="shared" si="38"/>
        <v>251.99999999999955</v>
      </c>
      <c r="I172" s="115">
        <f t="shared" si="39"/>
        <v>1259.9999999999977</v>
      </c>
      <c r="J172" s="115">
        <f t="shared" si="40"/>
        <v>7664.9999999999864</v>
      </c>
      <c r="K172" s="115">
        <f t="shared" si="41"/>
        <v>60479.999999999891</v>
      </c>
      <c r="L172" s="6"/>
      <c r="M172" s="11">
        <f t="shared" si="42"/>
        <v>19.841269841269877</v>
      </c>
    </row>
    <row r="173" spans="1:13">
      <c r="A173" s="115">
        <f t="shared" si="32"/>
        <v>16.89999999999997</v>
      </c>
      <c r="B173" s="11">
        <f t="shared" si="33"/>
        <v>8.6291913214990288</v>
      </c>
      <c r="C173" s="13">
        <f t="shared" si="34"/>
        <v>43.145956607495144</v>
      </c>
      <c r="D173" s="11">
        <f t="shared" si="35"/>
        <v>172.58382642998058</v>
      </c>
      <c r="E173" s="11">
        <f t="shared" si="36"/>
        <v>2071.0059171597668</v>
      </c>
      <c r="F173" s="14">
        <f t="shared" si="37"/>
        <v>0.5752794214332686</v>
      </c>
      <c r="G173" s="6"/>
      <c r="H173" s="115">
        <f t="shared" si="38"/>
        <v>253.49999999999955</v>
      </c>
      <c r="I173" s="115">
        <f t="shared" si="39"/>
        <v>1267.4999999999977</v>
      </c>
      <c r="J173" s="115">
        <f t="shared" si="40"/>
        <v>7710.6249999999864</v>
      </c>
      <c r="K173" s="115">
        <f t="shared" si="41"/>
        <v>60839.999999999891</v>
      </c>
      <c r="L173" s="6"/>
      <c r="M173" s="11">
        <f t="shared" si="42"/>
        <v>19.723865877712068</v>
      </c>
    </row>
    <row r="174" spans="1:13">
      <c r="A174" s="115">
        <f t="shared" si="32"/>
        <v>16.999999999999972</v>
      </c>
      <c r="B174" s="11">
        <f t="shared" si="33"/>
        <v>8.5784313725490335</v>
      </c>
      <c r="C174" s="13">
        <f t="shared" si="34"/>
        <v>42.892156862745168</v>
      </c>
      <c r="D174" s="11">
        <f t="shared" si="35"/>
        <v>171.56862745098067</v>
      </c>
      <c r="E174" s="11">
        <f t="shared" si="36"/>
        <v>2058.823529411768</v>
      </c>
      <c r="F174" s="14">
        <f t="shared" si="37"/>
        <v>0.57189542483660227</v>
      </c>
      <c r="G174" s="6"/>
      <c r="H174" s="115">
        <f t="shared" si="38"/>
        <v>254.99999999999957</v>
      </c>
      <c r="I174" s="115">
        <f t="shared" si="39"/>
        <v>1274.999999999998</v>
      </c>
      <c r="J174" s="115">
        <f t="shared" si="40"/>
        <v>7756.2499999999864</v>
      </c>
      <c r="K174" s="115">
        <f t="shared" si="41"/>
        <v>61199.999999999898</v>
      </c>
      <c r="L174" s="6"/>
      <c r="M174" s="11">
        <f t="shared" si="42"/>
        <v>19.607843137254935</v>
      </c>
    </row>
    <row r="175" spans="1:13">
      <c r="A175" s="115">
        <f t="shared" si="32"/>
        <v>17.099999999999973</v>
      </c>
      <c r="B175" s="11">
        <f t="shared" si="33"/>
        <v>8.5282651072124889</v>
      </c>
      <c r="C175" s="13">
        <f t="shared" si="34"/>
        <v>42.641325536062446</v>
      </c>
      <c r="D175" s="11">
        <f t="shared" si="35"/>
        <v>170.56530214424978</v>
      </c>
      <c r="E175" s="11">
        <f t="shared" si="36"/>
        <v>2046.7836257309973</v>
      </c>
      <c r="F175" s="14">
        <f t="shared" si="37"/>
        <v>0.56855100714749929</v>
      </c>
      <c r="G175" s="6"/>
      <c r="H175" s="115">
        <f t="shared" si="38"/>
        <v>256.4999999999996</v>
      </c>
      <c r="I175" s="115">
        <f t="shared" si="39"/>
        <v>1282.499999999998</v>
      </c>
      <c r="J175" s="115">
        <f t="shared" si="40"/>
        <v>7801.8749999999882</v>
      </c>
      <c r="K175" s="115">
        <f t="shared" si="41"/>
        <v>61559.999999999898</v>
      </c>
      <c r="L175" s="6"/>
      <c r="M175" s="11">
        <f t="shared" si="42"/>
        <v>19.493177387914262</v>
      </c>
    </row>
    <row r="176" spans="1:13">
      <c r="A176" s="115">
        <f t="shared" si="32"/>
        <v>17.199999999999974</v>
      </c>
      <c r="B176" s="11">
        <f t="shared" si="33"/>
        <v>8.4786821705426476</v>
      </c>
      <c r="C176" s="13">
        <f t="shared" si="34"/>
        <v>42.393410852713238</v>
      </c>
      <c r="D176" s="11">
        <f t="shared" si="35"/>
        <v>169.57364341085295</v>
      </c>
      <c r="E176" s="11">
        <f t="shared" si="36"/>
        <v>2034.8837209302355</v>
      </c>
      <c r="F176" s="14">
        <f t="shared" si="37"/>
        <v>0.56524547803617653</v>
      </c>
      <c r="G176" s="6"/>
      <c r="H176" s="115">
        <f t="shared" si="38"/>
        <v>257.9999999999996</v>
      </c>
      <c r="I176" s="115">
        <f t="shared" si="39"/>
        <v>1289.999999999998</v>
      </c>
      <c r="J176" s="115">
        <f t="shared" si="40"/>
        <v>7847.4999999999882</v>
      </c>
      <c r="K176" s="115">
        <f t="shared" si="41"/>
        <v>61919.999999999898</v>
      </c>
      <c r="L176" s="6"/>
      <c r="M176" s="11">
        <f t="shared" si="42"/>
        <v>19.379844961240341</v>
      </c>
    </row>
    <row r="177" spans="1:13">
      <c r="A177" s="115">
        <f t="shared" si="32"/>
        <v>17.299999999999976</v>
      </c>
      <c r="B177" s="11">
        <f t="shared" si="33"/>
        <v>8.4296724470134983</v>
      </c>
      <c r="C177" s="13">
        <f t="shared" si="34"/>
        <v>42.148362235067495</v>
      </c>
      <c r="D177" s="11">
        <f t="shared" si="35"/>
        <v>168.59344894026998</v>
      </c>
      <c r="E177" s="11">
        <f t="shared" si="36"/>
        <v>2023.1213872832398</v>
      </c>
      <c r="F177" s="14">
        <f t="shared" si="37"/>
        <v>0.56197816313423321</v>
      </c>
      <c r="G177" s="6"/>
      <c r="H177" s="115">
        <f t="shared" si="38"/>
        <v>259.49999999999966</v>
      </c>
      <c r="I177" s="115">
        <f t="shared" si="39"/>
        <v>1297.4999999999982</v>
      </c>
      <c r="J177" s="115">
        <f t="shared" si="40"/>
        <v>7893.1249999999891</v>
      </c>
      <c r="K177" s="115">
        <f t="shared" si="41"/>
        <v>62279.999999999913</v>
      </c>
      <c r="L177" s="6"/>
      <c r="M177" s="11">
        <f t="shared" si="42"/>
        <v>19.267822736030855</v>
      </c>
    </row>
    <row r="178" spans="1:13">
      <c r="A178" s="115">
        <f t="shared" si="32"/>
        <v>17.399999999999977</v>
      </c>
      <c r="B178" s="11">
        <f t="shared" si="33"/>
        <v>8.3812260536398568</v>
      </c>
      <c r="C178" s="13">
        <f t="shared" si="34"/>
        <v>41.906130268199284</v>
      </c>
      <c r="D178" s="11">
        <f t="shared" si="35"/>
        <v>167.62452107279714</v>
      </c>
      <c r="E178" s="11">
        <f t="shared" si="36"/>
        <v>2011.4942528735655</v>
      </c>
      <c r="F178" s="14">
        <f t="shared" si="37"/>
        <v>0.55874840357599043</v>
      </c>
      <c r="G178" s="6"/>
      <c r="H178" s="115">
        <f t="shared" si="38"/>
        <v>260.99999999999966</v>
      </c>
      <c r="I178" s="115">
        <f t="shared" si="39"/>
        <v>1304.9999999999982</v>
      </c>
      <c r="J178" s="115">
        <f t="shared" si="40"/>
        <v>7938.7499999999891</v>
      </c>
      <c r="K178" s="115">
        <f t="shared" si="41"/>
        <v>62639.999999999913</v>
      </c>
      <c r="L178" s="6"/>
      <c r="M178" s="11">
        <f t="shared" si="42"/>
        <v>19.157088122605391</v>
      </c>
    </row>
    <row r="179" spans="1:13">
      <c r="A179" s="115">
        <f t="shared" si="32"/>
        <v>17.499999999999979</v>
      </c>
      <c r="B179" s="11">
        <f t="shared" si="33"/>
        <v>8.3333333333333428</v>
      </c>
      <c r="C179" s="13">
        <f t="shared" si="34"/>
        <v>41.666666666666714</v>
      </c>
      <c r="D179" s="11">
        <f t="shared" si="35"/>
        <v>166.66666666666686</v>
      </c>
      <c r="E179" s="11">
        <f t="shared" si="36"/>
        <v>2000.0000000000023</v>
      </c>
      <c r="F179" s="14">
        <f t="shared" si="37"/>
        <v>0.55555555555555614</v>
      </c>
      <c r="G179" s="6"/>
      <c r="H179" s="115">
        <f t="shared" si="38"/>
        <v>262.49999999999966</v>
      </c>
      <c r="I179" s="115">
        <f t="shared" si="39"/>
        <v>1312.4999999999982</v>
      </c>
      <c r="J179" s="115">
        <f t="shared" si="40"/>
        <v>7984.3749999999891</v>
      </c>
      <c r="K179" s="115">
        <f t="shared" si="41"/>
        <v>62999.999999999913</v>
      </c>
      <c r="L179" s="6"/>
      <c r="M179" s="11">
        <f t="shared" si="42"/>
        <v>19.047619047619072</v>
      </c>
    </row>
    <row r="180" spans="1:13">
      <c r="A180" s="115">
        <f t="shared" si="32"/>
        <v>17.59999999999998</v>
      </c>
      <c r="B180" s="11">
        <f t="shared" si="33"/>
        <v>8.2859848484848566</v>
      </c>
      <c r="C180" s="13">
        <f t="shared" si="34"/>
        <v>41.429924242424285</v>
      </c>
      <c r="D180" s="11">
        <f t="shared" si="35"/>
        <v>165.71969696969714</v>
      </c>
      <c r="E180" s="11">
        <f t="shared" si="36"/>
        <v>1988.6363636363658</v>
      </c>
      <c r="F180" s="14">
        <f t="shared" si="37"/>
        <v>0.55239898989899039</v>
      </c>
      <c r="G180" s="6"/>
      <c r="H180" s="115">
        <f t="shared" si="38"/>
        <v>263.99999999999972</v>
      </c>
      <c r="I180" s="115">
        <f t="shared" si="39"/>
        <v>1319.9999999999986</v>
      </c>
      <c r="J180" s="115">
        <f t="shared" si="40"/>
        <v>8029.9999999999918</v>
      </c>
      <c r="K180" s="115">
        <f t="shared" si="41"/>
        <v>63359.999999999935</v>
      </c>
      <c r="L180" s="6"/>
      <c r="M180" s="11">
        <f t="shared" si="42"/>
        <v>18.939393939393959</v>
      </c>
    </row>
    <row r="181" spans="1:13">
      <c r="A181" s="115">
        <f t="shared" si="32"/>
        <v>17.699999999999982</v>
      </c>
      <c r="B181" s="11">
        <f t="shared" si="33"/>
        <v>8.2391713747646023</v>
      </c>
      <c r="C181" s="13">
        <f t="shared" si="34"/>
        <v>41.195856873823011</v>
      </c>
      <c r="D181" s="11">
        <f t="shared" si="35"/>
        <v>164.78342749529205</v>
      </c>
      <c r="E181" s="11">
        <f t="shared" si="36"/>
        <v>1977.4011299435047</v>
      </c>
      <c r="F181" s="14">
        <f t="shared" si="37"/>
        <v>0.54927809165097352</v>
      </c>
      <c r="G181" s="6"/>
      <c r="H181" s="115">
        <f t="shared" si="38"/>
        <v>265.49999999999972</v>
      </c>
      <c r="I181" s="115">
        <f t="shared" si="39"/>
        <v>1327.4999999999986</v>
      </c>
      <c r="J181" s="115">
        <f t="shared" si="40"/>
        <v>8075.6249999999918</v>
      </c>
      <c r="K181" s="115">
        <f t="shared" si="41"/>
        <v>63719.999999999935</v>
      </c>
      <c r="L181" s="6"/>
      <c r="M181" s="11">
        <f t="shared" si="42"/>
        <v>18.832391713747665</v>
      </c>
    </row>
    <row r="182" spans="1:13">
      <c r="A182" s="115">
        <f t="shared" si="32"/>
        <v>17.799999999999983</v>
      </c>
      <c r="B182" s="11">
        <f t="shared" si="33"/>
        <v>8.1928838951310929</v>
      </c>
      <c r="C182" s="13">
        <f t="shared" si="34"/>
        <v>40.964419475655461</v>
      </c>
      <c r="D182" s="11">
        <f t="shared" si="35"/>
        <v>163.85767790262184</v>
      </c>
      <c r="E182" s="11">
        <f t="shared" si="36"/>
        <v>1966.2921348314621</v>
      </c>
      <c r="F182" s="14">
        <f t="shared" si="37"/>
        <v>0.54619225967540619</v>
      </c>
      <c r="G182" s="6"/>
      <c r="H182" s="115">
        <f t="shared" si="38"/>
        <v>266.99999999999977</v>
      </c>
      <c r="I182" s="115">
        <f t="shared" si="39"/>
        <v>1334.9999999999989</v>
      </c>
      <c r="J182" s="115">
        <f t="shared" si="40"/>
        <v>8121.2499999999927</v>
      </c>
      <c r="K182" s="115">
        <f t="shared" si="41"/>
        <v>64079.999999999942</v>
      </c>
      <c r="L182" s="6"/>
      <c r="M182" s="11">
        <f t="shared" si="42"/>
        <v>18.726591760299641</v>
      </c>
    </row>
    <row r="183" spans="1:13">
      <c r="A183" s="115">
        <f t="shared" si="32"/>
        <v>17.899999999999984</v>
      </c>
      <c r="B183" s="11">
        <f t="shared" si="33"/>
        <v>8.1471135940409738</v>
      </c>
      <c r="C183" s="13">
        <f t="shared" si="34"/>
        <v>40.735567970204869</v>
      </c>
      <c r="D183" s="11">
        <f t="shared" si="35"/>
        <v>162.94227188081948</v>
      </c>
      <c r="E183" s="11">
        <f t="shared" si="36"/>
        <v>1955.3072625698337</v>
      </c>
      <c r="F183" s="14">
        <f t="shared" si="37"/>
        <v>0.54314090626939826</v>
      </c>
      <c r="G183" s="6"/>
      <c r="H183" s="115">
        <f t="shared" si="38"/>
        <v>268.49999999999977</v>
      </c>
      <c r="I183" s="115">
        <f t="shared" si="39"/>
        <v>1342.4999999999989</v>
      </c>
      <c r="J183" s="115">
        <f t="shared" si="40"/>
        <v>8166.8749999999927</v>
      </c>
      <c r="K183" s="115">
        <f t="shared" si="41"/>
        <v>64439.999999999942</v>
      </c>
      <c r="L183" s="6"/>
      <c r="M183" s="11">
        <f t="shared" si="42"/>
        <v>18.621973929236514</v>
      </c>
    </row>
    <row r="184" spans="1:13">
      <c r="A184" s="115">
        <f t="shared" si="32"/>
        <v>17.999999999999986</v>
      </c>
      <c r="B184" s="11">
        <f t="shared" si="33"/>
        <v>8.1018518518518565</v>
      </c>
      <c r="C184" s="13">
        <f t="shared" si="34"/>
        <v>40.509259259259281</v>
      </c>
      <c r="D184" s="11">
        <f t="shared" si="35"/>
        <v>162.03703703703712</v>
      </c>
      <c r="E184" s="11">
        <f t="shared" si="36"/>
        <v>1944.4444444444455</v>
      </c>
      <c r="F184" s="14">
        <f t="shared" si="37"/>
        <v>0.54012345679012375</v>
      </c>
      <c r="G184" s="6"/>
      <c r="H184" s="115">
        <f t="shared" si="38"/>
        <v>269.99999999999977</v>
      </c>
      <c r="I184" s="115">
        <f t="shared" si="39"/>
        <v>1349.9999999999989</v>
      </c>
      <c r="J184" s="115">
        <f t="shared" si="40"/>
        <v>8212.4999999999927</v>
      </c>
      <c r="K184" s="115">
        <f t="shared" si="41"/>
        <v>64799.999999999942</v>
      </c>
      <c r="L184" s="6"/>
      <c r="M184" s="11">
        <f t="shared" si="42"/>
        <v>18.518518518518533</v>
      </c>
    </row>
    <row r="185" spans="1:13">
      <c r="A185" s="115">
        <f t="shared" si="32"/>
        <v>18.099999999999987</v>
      </c>
      <c r="B185" s="11">
        <f t="shared" si="33"/>
        <v>8.0570902394106856</v>
      </c>
      <c r="C185" s="13">
        <f t="shared" si="34"/>
        <v>40.285451197053426</v>
      </c>
      <c r="D185" s="11">
        <f t="shared" si="35"/>
        <v>161.1418047882137</v>
      </c>
      <c r="E185" s="11">
        <f t="shared" si="36"/>
        <v>1933.7016574585646</v>
      </c>
      <c r="F185" s="14">
        <f t="shared" si="37"/>
        <v>0.53713934929404572</v>
      </c>
      <c r="G185" s="6"/>
      <c r="H185" s="115">
        <f t="shared" si="38"/>
        <v>271.49999999999983</v>
      </c>
      <c r="I185" s="115">
        <f t="shared" si="39"/>
        <v>1357.4999999999991</v>
      </c>
      <c r="J185" s="115">
        <f t="shared" si="40"/>
        <v>8258.1249999999945</v>
      </c>
      <c r="K185" s="115">
        <f t="shared" si="41"/>
        <v>65159.999999999956</v>
      </c>
      <c r="L185" s="6"/>
      <c r="M185" s="11">
        <f t="shared" si="42"/>
        <v>18.416206261510141</v>
      </c>
    </row>
    <row r="186" spans="1:13">
      <c r="A186" s="115">
        <f t="shared" si="32"/>
        <v>18.199999999999989</v>
      </c>
      <c r="B186" s="11">
        <f t="shared" si="33"/>
        <v>8.0128205128205163</v>
      </c>
      <c r="C186" s="13">
        <f t="shared" si="34"/>
        <v>40.064102564102583</v>
      </c>
      <c r="D186" s="11">
        <f t="shared" si="35"/>
        <v>160.25641025641033</v>
      </c>
      <c r="E186" s="11">
        <f t="shared" si="36"/>
        <v>1923.076923076924</v>
      </c>
      <c r="F186" s="14">
        <f t="shared" si="37"/>
        <v>0.5341880341880344</v>
      </c>
      <c r="G186" s="6"/>
      <c r="H186" s="115">
        <f t="shared" si="38"/>
        <v>272.99999999999983</v>
      </c>
      <c r="I186" s="115">
        <f t="shared" si="39"/>
        <v>1364.9999999999991</v>
      </c>
      <c r="J186" s="115">
        <f t="shared" si="40"/>
        <v>8303.7499999999945</v>
      </c>
      <c r="K186" s="115">
        <f t="shared" si="41"/>
        <v>65519.999999999956</v>
      </c>
      <c r="L186" s="6"/>
      <c r="M186" s="11">
        <f t="shared" si="42"/>
        <v>18.315018315018328</v>
      </c>
    </row>
    <row r="187" spans="1:13">
      <c r="A187" s="115">
        <f t="shared" si="32"/>
        <v>18.29999999999999</v>
      </c>
      <c r="B187" s="11">
        <f t="shared" si="33"/>
        <v>7.9690346083788741</v>
      </c>
      <c r="C187" s="13">
        <f t="shared" si="34"/>
        <v>39.84517304189437</v>
      </c>
      <c r="D187" s="11">
        <f t="shared" si="35"/>
        <v>159.38069216757748</v>
      </c>
      <c r="E187" s="11">
        <f t="shared" si="36"/>
        <v>1912.5683060109297</v>
      </c>
      <c r="F187" s="14">
        <f t="shared" si="37"/>
        <v>0.53126897389192496</v>
      </c>
      <c r="G187" s="6"/>
      <c r="H187" s="115">
        <f t="shared" si="38"/>
        <v>274.49999999999983</v>
      </c>
      <c r="I187" s="115">
        <f t="shared" si="39"/>
        <v>1372.4999999999991</v>
      </c>
      <c r="J187" s="115">
        <f t="shared" si="40"/>
        <v>8349.3749999999945</v>
      </c>
      <c r="K187" s="115">
        <f t="shared" si="41"/>
        <v>65879.999999999956</v>
      </c>
      <c r="L187" s="6"/>
      <c r="M187" s="11">
        <f t="shared" si="42"/>
        <v>18.214936247723145</v>
      </c>
    </row>
    <row r="188" spans="1:13">
      <c r="A188" s="115">
        <f t="shared" si="32"/>
        <v>18.399999999999991</v>
      </c>
      <c r="B188" s="11">
        <f t="shared" si="33"/>
        <v>7.9257246376811619</v>
      </c>
      <c r="C188" s="13">
        <f t="shared" si="34"/>
        <v>39.628623188405811</v>
      </c>
      <c r="D188" s="11">
        <f t="shared" si="35"/>
        <v>158.51449275362324</v>
      </c>
      <c r="E188" s="11">
        <f t="shared" si="36"/>
        <v>1902.1739130434789</v>
      </c>
      <c r="F188" s="14">
        <f t="shared" si="37"/>
        <v>0.52838164251207742</v>
      </c>
      <c r="G188" s="6"/>
      <c r="H188" s="115">
        <f t="shared" si="38"/>
        <v>275.99999999999989</v>
      </c>
      <c r="I188" s="115">
        <f t="shared" si="39"/>
        <v>1379.9999999999995</v>
      </c>
      <c r="J188" s="115">
        <f t="shared" si="40"/>
        <v>8394.9999999999964</v>
      </c>
      <c r="K188" s="115">
        <f t="shared" si="41"/>
        <v>66239.999999999971</v>
      </c>
      <c r="L188" s="6"/>
      <c r="M188" s="11">
        <f t="shared" si="42"/>
        <v>18.115942028985515</v>
      </c>
    </row>
    <row r="189" spans="1:13">
      <c r="A189" s="115">
        <f t="shared" si="32"/>
        <v>18.499999999999993</v>
      </c>
      <c r="B189" s="11">
        <f t="shared" si="33"/>
        <v>7.8828828828828845</v>
      </c>
      <c r="C189" s="13">
        <f t="shared" si="34"/>
        <v>39.414414414414424</v>
      </c>
      <c r="D189" s="11">
        <f t="shared" si="35"/>
        <v>157.65765765765769</v>
      </c>
      <c r="E189" s="11">
        <f t="shared" si="36"/>
        <v>1891.8918918918923</v>
      </c>
      <c r="F189" s="14">
        <f t="shared" si="37"/>
        <v>0.52552552552552567</v>
      </c>
      <c r="G189" s="6"/>
      <c r="H189" s="115">
        <f t="shared" si="38"/>
        <v>277.49999999999989</v>
      </c>
      <c r="I189" s="115">
        <f t="shared" si="39"/>
        <v>1387.4999999999995</v>
      </c>
      <c r="J189" s="115">
        <f t="shared" si="40"/>
        <v>8440.6249999999964</v>
      </c>
      <c r="K189" s="115">
        <f t="shared" si="41"/>
        <v>66599.999999999971</v>
      </c>
      <c r="L189" s="6"/>
      <c r="M189" s="11">
        <f t="shared" si="42"/>
        <v>18.018018018018026</v>
      </c>
    </row>
    <row r="190" spans="1:13">
      <c r="A190" s="115">
        <f t="shared" ref="A190:A253" si="43">A189+0.1</f>
        <v>18.599999999999994</v>
      </c>
      <c r="B190" s="11">
        <f t="shared" si="33"/>
        <v>7.8405017921146971</v>
      </c>
      <c r="C190" s="13">
        <f t="shared" si="34"/>
        <v>39.202508960573482</v>
      </c>
      <c r="D190" s="11">
        <f t="shared" si="35"/>
        <v>156.81003584229393</v>
      </c>
      <c r="E190" s="11">
        <f t="shared" si="36"/>
        <v>1881.7204301075271</v>
      </c>
      <c r="F190" s="14">
        <f t="shared" si="37"/>
        <v>0.52270011947431316</v>
      </c>
      <c r="G190" s="6"/>
      <c r="H190" s="115">
        <f t="shared" si="38"/>
        <v>278.99999999999989</v>
      </c>
      <c r="I190" s="115">
        <f t="shared" si="39"/>
        <v>1394.9999999999995</v>
      </c>
      <c r="J190" s="115">
        <f t="shared" si="40"/>
        <v>8486.2499999999964</v>
      </c>
      <c r="K190" s="115">
        <f t="shared" si="41"/>
        <v>66959.999999999971</v>
      </c>
      <c r="L190" s="6"/>
      <c r="M190" s="11">
        <f t="shared" si="42"/>
        <v>17.921146953405025</v>
      </c>
    </row>
    <row r="191" spans="1:13">
      <c r="A191" s="115">
        <f t="shared" si="43"/>
        <v>18.699999999999996</v>
      </c>
      <c r="B191" s="11">
        <f t="shared" ref="B191:B230" si="44">$B$3/A191</f>
        <v>7.7985739750445644</v>
      </c>
      <c r="C191" s="13">
        <f t="shared" ref="C191:C230" si="45">B191*5</f>
        <v>38.992869875222823</v>
      </c>
      <c r="D191" s="11">
        <f t="shared" ref="D191:D230" si="46">E191/12</f>
        <v>155.97147950089129</v>
      </c>
      <c r="E191" s="11">
        <f t="shared" ref="E191:E230" si="47">C191*48</f>
        <v>1871.6577540106955</v>
      </c>
      <c r="F191" s="14">
        <f t="shared" ref="F191:F230" si="48">B191/$I$2</f>
        <v>0.51990493166963758</v>
      </c>
      <c r="G191" s="6"/>
      <c r="H191" s="115">
        <f t="shared" ref="H191:H230" si="49">A191*$I$2</f>
        <v>280.49999999999994</v>
      </c>
      <c r="I191" s="115">
        <f t="shared" ref="I191:I230" si="50">H191*5</f>
        <v>1402.4999999999998</v>
      </c>
      <c r="J191" s="115">
        <f t="shared" ref="J191:J230" si="51">H191*365/12</f>
        <v>8531.8749999999982</v>
      </c>
      <c r="K191" s="115">
        <f t="shared" ref="K191:K230" si="52">I191*48</f>
        <v>67319.999999999985</v>
      </c>
      <c r="L191" s="6"/>
      <c r="M191" s="11">
        <f t="shared" ref="M191:M230" si="53">$H$1/H191</f>
        <v>17.825311942959004</v>
      </c>
    </row>
    <row r="192" spans="1:13">
      <c r="A192" s="115">
        <f t="shared" si="43"/>
        <v>18.799999999999997</v>
      </c>
      <c r="B192" s="11">
        <f t="shared" si="44"/>
        <v>7.7570921985815602</v>
      </c>
      <c r="C192" s="13">
        <f t="shared" si="45"/>
        <v>38.785460992907801</v>
      </c>
      <c r="D192" s="11">
        <f t="shared" si="46"/>
        <v>155.1418439716312</v>
      </c>
      <c r="E192" s="11">
        <f t="shared" si="47"/>
        <v>1861.7021276595744</v>
      </c>
      <c r="F192" s="14">
        <f t="shared" si="48"/>
        <v>0.51713947990543729</v>
      </c>
      <c r="G192" s="6"/>
      <c r="H192" s="115">
        <f t="shared" si="49"/>
        <v>281.99999999999994</v>
      </c>
      <c r="I192" s="115">
        <f t="shared" si="50"/>
        <v>1409.9999999999998</v>
      </c>
      <c r="J192" s="115">
        <f t="shared" si="51"/>
        <v>8577.4999999999982</v>
      </c>
      <c r="K192" s="115">
        <f t="shared" si="52"/>
        <v>67679.999999999985</v>
      </c>
      <c r="L192" s="6"/>
      <c r="M192" s="11">
        <f t="shared" si="53"/>
        <v>17.730496453900713</v>
      </c>
    </row>
    <row r="193" spans="1:13">
      <c r="A193" s="115">
        <f t="shared" si="43"/>
        <v>18.899999999999999</v>
      </c>
      <c r="B193" s="11">
        <f t="shared" si="44"/>
        <v>7.716049382716049</v>
      </c>
      <c r="C193" s="13">
        <f t="shared" si="45"/>
        <v>38.580246913580247</v>
      </c>
      <c r="D193" s="11">
        <f t="shared" si="46"/>
        <v>154.32098765432099</v>
      </c>
      <c r="E193" s="11">
        <f t="shared" si="47"/>
        <v>1851.8518518518517</v>
      </c>
      <c r="F193" s="14">
        <f t="shared" si="48"/>
        <v>0.51440329218106995</v>
      </c>
      <c r="G193" s="6"/>
      <c r="H193" s="115">
        <f t="shared" si="49"/>
        <v>283.5</v>
      </c>
      <c r="I193" s="115">
        <f t="shared" si="50"/>
        <v>1417.5</v>
      </c>
      <c r="J193" s="115">
        <f t="shared" si="51"/>
        <v>8623.125</v>
      </c>
      <c r="K193" s="115">
        <f t="shared" si="52"/>
        <v>68040</v>
      </c>
      <c r="L193" s="6"/>
      <c r="M193" s="11">
        <f t="shared" si="53"/>
        <v>17.636684303350972</v>
      </c>
    </row>
    <row r="194" spans="1:13">
      <c r="A194" s="115">
        <f t="shared" si="43"/>
        <v>19</v>
      </c>
      <c r="B194" s="11">
        <f t="shared" si="44"/>
        <v>7.6754385964912268</v>
      </c>
      <c r="C194" s="13">
        <f t="shared" si="45"/>
        <v>38.377192982456137</v>
      </c>
      <c r="D194" s="11">
        <f t="shared" si="46"/>
        <v>153.50877192982455</v>
      </c>
      <c r="E194" s="11">
        <f t="shared" si="47"/>
        <v>1842.1052631578946</v>
      </c>
      <c r="F194" s="14">
        <f t="shared" si="48"/>
        <v>0.51169590643274843</v>
      </c>
      <c r="G194" s="6"/>
      <c r="H194" s="115">
        <f t="shared" si="49"/>
        <v>285</v>
      </c>
      <c r="I194" s="115">
        <f t="shared" si="50"/>
        <v>1425</v>
      </c>
      <c r="J194" s="115">
        <f t="shared" si="51"/>
        <v>8668.75</v>
      </c>
      <c r="K194" s="115">
        <f t="shared" si="52"/>
        <v>68400</v>
      </c>
      <c r="L194" s="6"/>
      <c r="M194" s="11">
        <f t="shared" si="53"/>
        <v>17.543859649122808</v>
      </c>
    </row>
    <row r="195" spans="1:13">
      <c r="A195" s="115">
        <f t="shared" si="43"/>
        <v>19.100000000000001</v>
      </c>
      <c r="B195" s="11">
        <f t="shared" si="44"/>
        <v>7.63525305410122</v>
      </c>
      <c r="C195" s="13">
        <f t="shared" si="45"/>
        <v>38.1762652705061</v>
      </c>
      <c r="D195" s="11">
        <f t="shared" si="46"/>
        <v>152.7050610820244</v>
      </c>
      <c r="E195" s="11">
        <f t="shared" si="47"/>
        <v>1832.4607329842929</v>
      </c>
      <c r="F195" s="14">
        <f t="shared" si="48"/>
        <v>0.50901687027341469</v>
      </c>
      <c r="G195" s="6"/>
      <c r="H195" s="115">
        <f t="shared" si="49"/>
        <v>286.5</v>
      </c>
      <c r="I195" s="115">
        <f t="shared" si="50"/>
        <v>1432.5</v>
      </c>
      <c r="J195" s="115">
        <f t="shared" si="51"/>
        <v>8714.375</v>
      </c>
      <c r="K195" s="115">
        <f t="shared" si="52"/>
        <v>68760</v>
      </c>
      <c r="L195" s="6"/>
      <c r="M195" s="11">
        <f t="shared" si="53"/>
        <v>17.452006980802793</v>
      </c>
    </row>
    <row r="196" spans="1:13">
      <c r="A196" s="115">
        <f t="shared" si="43"/>
        <v>19.200000000000003</v>
      </c>
      <c r="B196" s="11">
        <f t="shared" si="44"/>
        <v>7.5954861111111089</v>
      </c>
      <c r="C196" s="13">
        <f t="shared" si="45"/>
        <v>37.977430555555543</v>
      </c>
      <c r="D196" s="11">
        <f t="shared" si="46"/>
        <v>151.90972222222217</v>
      </c>
      <c r="E196" s="11">
        <f t="shared" si="47"/>
        <v>1822.9166666666661</v>
      </c>
      <c r="F196" s="14">
        <f t="shared" si="48"/>
        <v>0.50636574074074059</v>
      </c>
      <c r="G196" s="6"/>
      <c r="H196" s="115">
        <f t="shared" si="49"/>
        <v>288.00000000000006</v>
      </c>
      <c r="I196" s="115">
        <f t="shared" si="50"/>
        <v>1440.0000000000002</v>
      </c>
      <c r="J196" s="115">
        <f t="shared" si="51"/>
        <v>8760.0000000000018</v>
      </c>
      <c r="K196" s="115">
        <f t="shared" si="52"/>
        <v>69120.000000000015</v>
      </c>
      <c r="L196" s="6"/>
      <c r="M196" s="11">
        <f t="shared" si="53"/>
        <v>17.361111111111107</v>
      </c>
    </row>
    <row r="197" spans="1:13">
      <c r="A197" s="115">
        <f t="shared" si="43"/>
        <v>19.300000000000004</v>
      </c>
      <c r="B197" s="11">
        <f t="shared" si="44"/>
        <v>7.5561312607944702</v>
      </c>
      <c r="C197" s="13">
        <f t="shared" si="45"/>
        <v>37.78065630397235</v>
      </c>
      <c r="D197" s="11">
        <f t="shared" si="46"/>
        <v>151.1226252158894</v>
      </c>
      <c r="E197" s="11">
        <f t="shared" si="47"/>
        <v>1813.4715025906728</v>
      </c>
      <c r="F197" s="14">
        <f t="shared" si="48"/>
        <v>0.50374208405296472</v>
      </c>
      <c r="G197" s="6"/>
      <c r="H197" s="115">
        <f t="shared" si="49"/>
        <v>289.50000000000006</v>
      </c>
      <c r="I197" s="115">
        <f t="shared" si="50"/>
        <v>1447.5000000000002</v>
      </c>
      <c r="J197" s="115">
        <f t="shared" si="51"/>
        <v>8805.6250000000018</v>
      </c>
      <c r="K197" s="115">
        <f t="shared" si="52"/>
        <v>69480.000000000015</v>
      </c>
      <c r="L197" s="6"/>
      <c r="M197" s="11">
        <f t="shared" si="53"/>
        <v>17.27115716753022</v>
      </c>
    </row>
    <row r="198" spans="1:13">
      <c r="A198" s="115">
        <f t="shared" si="43"/>
        <v>19.400000000000006</v>
      </c>
      <c r="B198" s="11">
        <f t="shared" si="44"/>
        <v>7.5171821305841888</v>
      </c>
      <c r="C198" s="13">
        <f t="shared" si="45"/>
        <v>37.585910652920944</v>
      </c>
      <c r="D198" s="11">
        <f t="shared" si="46"/>
        <v>150.34364261168378</v>
      </c>
      <c r="E198" s="11">
        <f t="shared" si="47"/>
        <v>1804.1237113402053</v>
      </c>
      <c r="F198" s="14">
        <f t="shared" si="48"/>
        <v>0.50114547537227927</v>
      </c>
      <c r="G198" s="6"/>
      <c r="H198" s="115">
        <f t="shared" si="49"/>
        <v>291.00000000000011</v>
      </c>
      <c r="I198" s="115">
        <f t="shared" si="50"/>
        <v>1455.0000000000005</v>
      </c>
      <c r="J198" s="115">
        <f t="shared" si="51"/>
        <v>8851.2500000000036</v>
      </c>
      <c r="K198" s="115">
        <f t="shared" si="52"/>
        <v>69840.000000000029</v>
      </c>
      <c r="L198" s="6"/>
      <c r="M198" s="11">
        <f t="shared" si="53"/>
        <v>17.182130584192432</v>
      </c>
    </row>
    <row r="199" spans="1:13">
      <c r="A199" s="115">
        <f t="shared" si="43"/>
        <v>19.500000000000007</v>
      </c>
      <c r="B199" s="11">
        <f t="shared" si="44"/>
        <v>7.4786324786324752</v>
      </c>
      <c r="C199" s="13">
        <f t="shared" si="45"/>
        <v>37.393162393162378</v>
      </c>
      <c r="D199" s="11">
        <f t="shared" si="46"/>
        <v>149.57264957264951</v>
      </c>
      <c r="E199" s="11">
        <f t="shared" si="47"/>
        <v>1794.871794871794</v>
      </c>
      <c r="F199" s="14">
        <f t="shared" si="48"/>
        <v>0.49857549857549832</v>
      </c>
      <c r="G199" s="6"/>
      <c r="H199" s="115">
        <f t="shared" si="49"/>
        <v>292.50000000000011</v>
      </c>
      <c r="I199" s="115">
        <f t="shared" si="50"/>
        <v>1462.5000000000005</v>
      </c>
      <c r="J199" s="115">
        <f t="shared" si="51"/>
        <v>8896.8750000000036</v>
      </c>
      <c r="K199" s="115">
        <f t="shared" si="52"/>
        <v>70200.000000000029</v>
      </c>
      <c r="L199" s="6"/>
      <c r="M199" s="11">
        <f t="shared" si="53"/>
        <v>17.094017094017087</v>
      </c>
    </row>
    <row r="200" spans="1:13">
      <c r="A200" s="115">
        <f t="shared" si="43"/>
        <v>19.600000000000009</v>
      </c>
      <c r="B200" s="11">
        <f t="shared" si="44"/>
        <v>7.4404761904761862</v>
      </c>
      <c r="C200" s="13">
        <f t="shared" si="45"/>
        <v>37.202380952380935</v>
      </c>
      <c r="D200" s="11">
        <f t="shared" si="46"/>
        <v>148.80952380952374</v>
      </c>
      <c r="E200" s="11">
        <f t="shared" si="47"/>
        <v>1785.7142857142849</v>
      </c>
      <c r="F200" s="14">
        <f t="shared" si="48"/>
        <v>0.49603174603174577</v>
      </c>
      <c r="G200" s="6"/>
      <c r="H200" s="115">
        <f t="shared" si="49"/>
        <v>294.00000000000011</v>
      </c>
      <c r="I200" s="115">
        <f t="shared" si="50"/>
        <v>1470.0000000000005</v>
      </c>
      <c r="J200" s="115">
        <f t="shared" si="51"/>
        <v>8942.5000000000036</v>
      </c>
      <c r="K200" s="115">
        <f t="shared" si="52"/>
        <v>70560.000000000029</v>
      </c>
      <c r="L200" s="6"/>
      <c r="M200" s="11">
        <f t="shared" si="53"/>
        <v>17.00680272108843</v>
      </c>
    </row>
    <row r="201" spans="1:13">
      <c r="A201" s="115">
        <f t="shared" si="43"/>
        <v>19.70000000000001</v>
      </c>
      <c r="B201" s="11">
        <f t="shared" si="44"/>
        <v>7.402707275803718</v>
      </c>
      <c r="C201" s="13">
        <f t="shared" si="45"/>
        <v>37.013536379018589</v>
      </c>
      <c r="D201" s="11">
        <f t="shared" si="46"/>
        <v>148.05414551607436</v>
      </c>
      <c r="E201" s="11">
        <f t="shared" si="47"/>
        <v>1776.6497461928923</v>
      </c>
      <c r="F201" s="14">
        <f t="shared" si="48"/>
        <v>0.49351381838691455</v>
      </c>
      <c r="G201" s="6"/>
      <c r="H201" s="115">
        <f t="shared" si="49"/>
        <v>295.50000000000017</v>
      </c>
      <c r="I201" s="115">
        <f t="shared" si="50"/>
        <v>1477.5000000000009</v>
      </c>
      <c r="J201" s="115">
        <f t="shared" si="51"/>
        <v>8988.1250000000055</v>
      </c>
      <c r="K201" s="115">
        <f t="shared" si="52"/>
        <v>70920.000000000044</v>
      </c>
      <c r="L201" s="6"/>
      <c r="M201" s="11">
        <f t="shared" si="53"/>
        <v>16.920473773265641</v>
      </c>
    </row>
    <row r="202" spans="1:13">
      <c r="A202" s="115">
        <f t="shared" si="43"/>
        <v>19.800000000000011</v>
      </c>
      <c r="B202" s="11">
        <f t="shared" si="44"/>
        <v>7.3653198653198597</v>
      </c>
      <c r="C202" s="13">
        <f t="shared" si="45"/>
        <v>36.8265993265993</v>
      </c>
      <c r="D202" s="11">
        <f t="shared" si="46"/>
        <v>147.3063973063972</v>
      </c>
      <c r="E202" s="11">
        <f t="shared" si="47"/>
        <v>1767.6767676767663</v>
      </c>
      <c r="F202" s="14">
        <f t="shared" si="48"/>
        <v>0.49102132435465734</v>
      </c>
      <c r="G202" s="6"/>
      <c r="H202" s="115">
        <f t="shared" si="49"/>
        <v>297.00000000000017</v>
      </c>
      <c r="I202" s="115">
        <f t="shared" si="50"/>
        <v>1485.0000000000009</v>
      </c>
      <c r="J202" s="115">
        <f t="shared" si="51"/>
        <v>9033.7500000000055</v>
      </c>
      <c r="K202" s="115">
        <f t="shared" si="52"/>
        <v>71280.000000000044</v>
      </c>
      <c r="L202" s="6"/>
      <c r="M202" s="11">
        <f t="shared" si="53"/>
        <v>16.835016835016827</v>
      </c>
    </row>
    <row r="203" spans="1:13">
      <c r="A203" s="115">
        <f t="shared" si="43"/>
        <v>19.900000000000013</v>
      </c>
      <c r="B203" s="11">
        <f t="shared" si="44"/>
        <v>7.3283082077051871</v>
      </c>
      <c r="C203" s="13">
        <f t="shared" si="45"/>
        <v>36.641541038525936</v>
      </c>
      <c r="D203" s="11">
        <f t="shared" si="46"/>
        <v>146.56616415410375</v>
      </c>
      <c r="E203" s="11">
        <f t="shared" si="47"/>
        <v>1758.7939698492451</v>
      </c>
      <c r="F203" s="14">
        <f t="shared" si="48"/>
        <v>0.48855388051367915</v>
      </c>
      <c r="G203" s="6"/>
      <c r="H203" s="115">
        <f t="shared" si="49"/>
        <v>298.50000000000017</v>
      </c>
      <c r="I203" s="115">
        <f t="shared" si="50"/>
        <v>1492.5000000000009</v>
      </c>
      <c r="J203" s="115">
        <f t="shared" si="51"/>
        <v>9079.3750000000055</v>
      </c>
      <c r="K203" s="115">
        <f t="shared" si="52"/>
        <v>71640.000000000044</v>
      </c>
      <c r="L203" s="6"/>
      <c r="M203" s="11">
        <f t="shared" si="53"/>
        <v>16.750418760469003</v>
      </c>
    </row>
    <row r="204" spans="1:13">
      <c r="A204" s="115">
        <f t="shared" si="43"/>
        <v>20.000000000000014</v>
      </c>
      <c r="B204" s="11">
        <f t="shared" si="44"/>
        <v>7.2916666666666607</v>
      </c>
      <c r="C204" s="13">
        <f t="shared" si="45"/>
        <v>36.4583333333333</v>
      </c>
      <c r="D204" s="11">
        <f t="shared" si="46"/>
        <v>145.8333333333332</v>
      </c>
      <c r="E204" s="11">
        <f t="shared" si="47"/>
        <v>1749.9999999999984</v>
      </c>
      <c r="F204" s="14">
        <f t="shared" si="48"/>
        <v>0.48611111111111072</v>
      </c>
      <c r="G204" s="6"/>
      <c r="H204" s="115">
        <f t="shared" si="49"/>
        <v>300.00000000000023</v>
      </c>
      <c r="I204" s="115">
        <f t="shared" si="50"/>
        <v>1500.0000000000011</v>
      </c>
      <c r="J204" s="115">
        <f t="shared" si="51"/>
        <v>9125.0000000000073</v>
      </c>
      <c r="K204" s="115">
        <f t="shared" si="52"/>
        <v>72000.000000000058</v>
      </c>
      <c r="L204" s="6"/>
      <c r="M204" s="11">
        <f t="shared" si="53"/>
        <v>16.666666666666654</v>
      </c>
    </row>
    <row r="205" spans="1:13">
      <c r="A205" s="115">
        <f t="shared" si="43"/>
        <v>20.100000000000016</v>
      </c>
      <c r="B205" s="11">
        <f t="shared" si="44"/>
        <v>7.2553897180762785</v>
      </c>
      <c r="C205" s="13">
        <f t="shared" si="45"/>
        <v>36.276948590381394</v>
      </c>
      <c r="D205" s="11">
        <f t="shared" si="46"/>
        <v>145.10779436152558</v>
      </c>
      <c r="E205" s="11">
        <f t="shared" si="47"/>
        <v>1741.2935323383069</v>
      </c>
      <c r="F205" s="14">
        <f t="shared" si="48"/>
        <v>0.48369264787175192</v>
      </c>
      <c r="G205" s="6"/>
      <c r="H205" s="115">
        <f t="shared" si="49"/>
        <v>301.50000000000023</v>
      </c>
      <c r="I205" s="115">
        <f t="shared" si="50"/>
        <v>1507.5000000000011</v>
      </c>
      <c r="J205" s="115">
        <f t="shared" si="51"/>
        <v>9170.6250000000073</v>
      </c>
      <c r="K205" s="115">
        <f t="shared" si="52"/>
        <v>72360.000000000058</v>
      </c>
      <c r="L205" s="6"/>
      <c r="M205" s="11">
        <f t="shared" si="53"/>
        <v>16.583747927031496</v>
      </c>
    </row>
    <row r="206" spans="1:13">
      <c r="A206" s="115">
        <f t="shared" si="43"/>
        <v>20.200000000000017</v>
      </c>
      <c r="B206" s="11">
        <f t="shared" si="44"/>
        <v>7.2194719471947124</v>
      </c>
      <c r="C206" s="13">
        <f t="shared" si="45"/>
        <v>36.097359735973562</v>
      </c>
      <c r="D206" s="11">
        <f t="shared" si="46"/>
        <v>144.38943894389425</v>
      </c>
      <c r="E206" s="11">
        <f t="shared" si="47"/>
        <v>1732.6732673267311</v>
      </c>
      <c r="F206" s="14">
        <f t="shared" si="48"/>
        <v>0.48129812981298081</v>
      </c>
      <c r="G206" s="6"/>
      <c r="H206" s="115">
        <f t="shared" si="49"/>
        <v>303.00000000000023</v>
      </c>
      <c r="I206" s="115">
        <f t="shared" si="50"/>
        <v>1515.0000000000011</v>
      </c>
      <c r="J206" s="115">
        <f t="shared" si="51"/>
        <v>9216.2500000000073</v>
      </c>
      <c r="K206" s="115">
        <f t="shared" si="52"/>
        <v>72720.000000000058</v>
      </c>
      <c r="L206" s="6"/>
      <c r="M206" s="11">
        <f t="shared" si="53"/>
        <v>16.501650165016489</v>
      </c>
    </row>
    <row r="207" spans="1:13">
      <c r="A207" s="115">
        <f t="shared" si="43"/>
        <v>20.300000000000018</v>
      </c>
      <c r="B207" s="11">
        <f t="shared" si="44"/>
        <v>7.1839080459770042</v>
      </c>
      <c r="C207" s="13">
        <f t="shared" si="45"/>
        <v>35.919540229885023</v>
      </c>
      <c r="D207" s="11">
        <f t="shared" si="46"/>
        <v>143.67816091954009</v>
      </c>
      <c r="E207" s="11">
        <f t="shared" si="47"/>
        <v>1724.137931034481</v>
      </c>
      <c r="F207" s="14">
        <f t="shared" si="48"/>
        <v>0.47892720306513359</v>
      </c>
      <c r="G207" s="6"/>
      <c r="H207" s="115">
        <f t="shared" si="49"/>
        <v>304.50000000000028</v>
      </c>
      <c r="I207" s="115">
        <f t="shared" si="50"/>
        <v>1522.5000000000014</v>
      </c>
      <c r="J207" s="115">
        <f t="shared" si="51"/>
        <v>9261.8750000000091</v>
      </c>
      <c r="K207" s="115">
        <f t="shared" si="52"/>
        <v>73080.000000000058</v>
      </c>
      <c r="L207" s="6"/>
      <c r="M207" s="11">
        <f t="shared" si="53"/>
        <v>16.42036124794744</v>
      </c>
    </row>
    <row r="208" spans="1:13">
      <c r="A208" s="115">
        <f t="shared" si="43"/>
        <v>20.40000000000002</v>
      </c>
      <c r="B208" s="11">
        <f t="shared" si="44"/>
        <v>7.1486928104575087</v>
      </c>
      <c r="C208" s="13">
        <f t="shared" si="45"/>
        <v>35.743464052287543</v>
      </c>
      <c r="D208" s="11">
        <f t="shared" si="46"/>
        <v>142.97385620915017</v>
      </c>
      <c r="E208" s="11">
        <f t="shared" si="47"/>
        <v>1715.6862745098019</v>
      </c>
      <c r="F208" s="14">
        <f t="shared" si="48"/>
        <v>0.47657952069716725</v>
      </c>
      <c r="G208" s="6"/>
      <c r="H208" s="115">
        <f t="shared" si="49"/>
        <v>306.00000000000028</v>
      </c>
      <c r="I208" s="115">
        <f t="shared" si="50"/>
        <v>1530.0000000000014</v>
      </c>
      <c r="J208" s="115">
        <f t="shared" si="51"/>
        <v>9307.5000000000091</v>
      </c>
      <c r="K208" s="115">
        <f t="shared" si="52"/>
        <v>73440.000000000058</v>
      </c>
      <c r="L208" s="6"/>
      <c r="M208" s="11">
        <f t="shared" si="53"/>
        <v>16.339869281045736</v>
      </c>
    </row>
    <row r="209" spans="1:13">
      <c r="A209" s="115">
        <f t="shared" si="43"/>
        <v>20.500000000000021</v>
      </c>
      <c r="B209" s="11">
        <f t="shared" si="44"/>
        <v>7.1138211382113736</v>
      </c>
      <c r="C209" s="13">
        <f t="shared" si="45"/>
        <v>35.569105691056869</v>
      </c>
      <c r="D209" s="11">
        <f t="shared" si="46"/>
        <v>142.27642276422748</v>
      </c>
      <c r="E209" s="11">
        <f t="shared" si="47"/>
        <v>1707.3170731707296</v>
      </c>
      <c r="F209" s="14">
        <f t="shared" si="48"/>
        <v>0.47425474254742489</v>
      </c>
      <c r="G209" s="6"/>
      <c r="H209" s="115">
        <f t="shared" si="49"/>
        <v>307.50000000000034</v>
      </c>
      <c r="I209" s="115">
        <f t="shared" si="50"/>
        <v>1537.5000000000018</v>
      </c>
      <c r="J209" s="115">
        <f t="shared" si="51"/>
        <v>9353.1250000000109</v>
      </c>
      <c r="K209" s="115">
        <f t="shared" si="52"/>
        <v>73800.000000000087</v>
      </c>
      <c r="L209" s="6"/>
      <c r="M209" s="11">
        <f t="shared" si="53"/>
        <v>16.260162601626</v>
      </c>
    </row>
    <row r="210" spans="1:13">
      <c r="A210" s="115">
        <f t="shared" si="43"/>
        <v>20.600000000000023</v>
      </c>
      <c r="B210" s="11">
        <f t="shared" si="44"/>
        <v>7.0792880258899586</v>
      </c>
      <c r="C210" s="13">
        <f t="shared" si="45"/>
        <v>35.396440129449793</v>
      </c>
      <c r="D210" s="11">
        <f t="shared" si="46"/>
        <v>141.58576051779917</v>
      </c>
      <c r="E210" s="11">
        <f t="shared" si="47"/>
        <v>1699.0291262135902</v>
      </c>
      <c r="F210" s="14">
        <f t="shared" si="48"/>
        <v>0.4719525350593306</v>
      </c>
      <c r="G210" s="6"/>
      <c r="H210" s="115">
        <f t="shared" si="49"/>
        <v>309.00000000000034</v>
      </c>
      <c r="I210" s="115">
        <f t="shared" si="50"/>
        <v>1545.0000000000018</v>
      </c>
      <c r="J210" s="115">
        <f t="shared" si="51"/>
        <v>9398.7500000000109</v>
      </c>
      <c r="K210" s="115">
        <f t="shared" si="52"/>
        <v>74160.000000000087</v>
      </c>
      <c r="L210" s="6"/>
      <c r="M210" s="11">
        <f t="shared" si="53"/>
        <v>16.181229773462764</v>
      </c>
    </row>
    <row r="211" spans="1:13">
      <c r="A211" s="115">
        <f t="shared" si="43"/>
        <v>20.700000000000024</v>
      </c>
      <c r="B211" s="11">
        <f t="shared" si="44"/>
        <v>7.0450885668276877</v>
      </c>
      <c r="C211" s="13">
        <f t="shared" si="45"/>
        <v>35.225442834138441</v>
      </c>
      <c r="D211" s="11">
        <f t="shared" si="46"/>
        <v>140.90177133655376</v>
      </c>
      <c r="E211" s="11">
        <f t="shared" si="47"/>
        <v>1690.8212560386451</v>
      </c>
      <c r="F211" s="14">
        <f t="shared" si="48"/>
        <v>0.46967257112184585</v>
      </c>
      <c r="G211" s="6"/>
      <c r="H211" s="115">
        <f t="shared" si="49"/>
        <v>310.50000000000034</v>
      </c>
      <c r="I211" s="115">
        <f t="shared" si="50"/>
        <v>1552.5000000000018</v>
      </c>
      <c r="J211" s="115">
        <f t="shared" si="51"/>
        <v>9444.3750000000109</v>
      </c>
      <c r="K211" s="115">
        <f t="shared" si="52"/>
        <v>74520.000000000087</v>
      </c>
      <c r="L211" s="6"/>
      <c r="M211" s="11">
        <f t="shared" si="53"/>
        <v>16.103059581320434</v>
      </c>
    </row>
    <row r="212" spans="1:13">
      <c r="A212" s="115">
        <f t="shared" si="43"/>
        <v>20.800000000000026</v>
      </c>
      <c r="B212" s="11">
        <f t="shared" si="44"/>
        <v>7.0112179487179391</v>
      </c>
      <c r="C212" s="13">
        <f t="shared" si="45"/>
        <v>35.056089743589695</v>
      </c>
      <c r="D212" s="11">
        <f t="shared" si="46"/>
        <v>140.22435897435878</v>
      </c>
      <c r="E212" s="11">
        <f t="shared" si="47"/>
        <v>1682.6923076923053</v>
      </c>
      <c r="F212" s="14">
        <f t="shared" si="48"/>
        <v>0.46741452991452925</v>
      </c>
      <c r="G212" s="6"/>
      <c r="H212" s="115">
        <f t="shared" si="49"/>
        <v>312.0000000000004</v>
      </c>
      <c r="I212" s="115">
        <f t="shared" si="50"/>
        <v>1560.000000000002</v>
      </c>
      <c r="J212" s="115">
        <f t="shared" si="51"/>
        <v>9490.0000000000127</v>
      </c>
      <c r="K212" s="115">
        <f t="shared" si="52"/>
        <v>74880.000000000102</v>
      </c>
      <c r="L212" s="6"/>
      <c r="M212" s="11">
        <f t="shared" si="53"/>
        <v>16.025641025641004</v>
      </c>
    </row>
    <row r="213" spans="1:13">
      <c r="A213" s="115">
        <f t="shared" si="43"/>
        <v>20.900000000000027</v>
      </c>
      <c r="B213" s="11">
        <f t="shared" si="44"/>
        <v>6.9776714513556524</v>
      </c>
      <c r="C213" s="13">
        <f t="shared" si="45"/>
        <v>34.888357256778264</v>
      </c>
      <c r="D213" s="11">
        <f t="shared" si="46"/>
        <v>139.55342902711305</v>
      </c>
      <c r="E213" s="11">
        <f t="shared" si="47"/>
        <v>1674.6411483253567</v>
      </c>
      <c r="F213" s="14">
        <f t="shared" si="48"/>
        <v>0.46517809675704347</v>
      </c>
      <c r="G213" s="6"/>
      <c r="H213" s="115">
        <f t="shared" si="49"/>
        <v>313.5000000000004</v>
      </c>
      <c r="I213" s="115">
        <f t="shared" si="50"/>
        <v>1567.500000000002</v>
      </c>
      <c r="J213" s="115">
        <f t="shared" si="51"/>
        <v>9535.6250000000127</v>
      </c>
      <c r="K213" s="115">
        <f t="shared" si="52"/>
        <v>75240.000000000102</v>
      </c>
      <c r="L213" s="6"/>
      <c r="M213" s="11">
        <f t="shared" si="53"/>
        <v>15.948963317384349</v>
      </c>
    </row>
    <row r="214" spans="1:13">
      <c r="A214" s="115">
        <f t="shared" si="43"/>
        <v>21.000000000000028</v>
      </c>
      <c r="B214" s="11">
        <f t="shared" si="44"/>
        <v>6.944444444444434</v>
      </c>
      <c r="C214" s="13">
        <f t="shared" si="45"/>
        <v>34.722222222222172</v>
      </c>
      <c r="D214" s="11">
        <f t="shared" si="46"/>
        <v>138.88888888888869</v>
      </c>
      <c r="E214" s="11">
        <f t="shared" si="47"/>
        <v>1666.6666666666642</v>
      </c>
      <c r="F214" s="14">
        <f t="shared" si="48"/>
        <v>0.46296296296296224</v>
      </c>
      <c r="G214" s="6"/>
      <c r="H214" s="115">
        <f t="shared" si="49"/>
        <v>315.00000000000045</v>
      </c>
      <c r="I214" s="115">
        <f t="shared" si="50"/>
        <v>1575.0000000000023</v>
      </c>
      <c r="J214" s="115">
        <f t="shared" si="51"/>
        <v>9581.2500000000127</v>
      </c>
      <c r="K214" s="115">
        <f t="shared" si="52"/>
        <v>75600.000000000116</v>
      </c>
      <c r="L214" s="6"/>
      <c r="M214" s="11">
        <f t="shared" si="53"/>
        <v>15.87301587301585</v>
      </c>
    </row>
    <row r="215" spans="1:13">
      <c r="A215" s="115">
        <f t="shared" si="43"/>
        <v>21.10000000000003</v>
      </c>
      <c r="B215" s="11">
        <f t="shared" si="44"/>
        <v>6.9115323854660238</v>
      </c>
      <c r="C215" s="13">
        <f t="shared" si="45"/>
        <v>34.557661927330116</v>
      </c>
      <c r="D215" s="11">
        <f t="shared" si="46"/>
        <v>138.23064770932046</v>
      </c>
      <c r="E215" s="11">
        <f t="shared" si="47"/>
        <v>1658.7677725118456</v>
      </c>
      <c r="F215" s="14">
        <f t="shared" si="48"/>
        <v>0.46076882569773492</v>
      </c>
      <c r="G215" s="6"/>
      <c r="H215" s="115">
        <f t="shared" si="49"/>
        <v>316.50000000000045</v>
      </c>
      <c r="I215" s="115">
        <f t="shared" si="50"/>
        <v>1582.5000000000023</v>
      </c>
      <c r="J215" s="115">
        <f t="shared" si="51"/>
        <v>9626.8750000000127</v>
      </c>
      <c r="K215" s="115">
        <f t="shared" si="52"/>
        <v>75960.000000000116</v>
      </c>
      <c r="L215" s="6"/>
      <c r="M215" s="11">
        <f t="shared" si="53"/>
        <v>15.797788309636628</v>
      </c>
    </row>
    <row r="216" spans="1:13">
      <c r="A216" s="115">
        <f t="shared" si="43"/>
        <v>21.200000000000031</v>
      </c>
      <c r="B216" s="11">
        <f t="shared" si="44"/>
        <v>6.8789308176100521</v>
      </c>
      <c r="C216" s="13">
        <f t="shared" si="45"/>
        <v>34.39465408805026</v>
      </c>
      <c r="D216" s="11">
        <f t="shared" si="46"/>
        <v>137.57861635220104</v>
      </c>
      <c r="E216" s="11">
        <f t="shared" si="47"/>
        <v>1650.9433962264125</v>
      </c>
      <c r="F216" s="14">
        <f t="shared" si="48"/>
        <v>0.45859538784067017</v>
      </c>
      <c r="G216" s="6"/>
      <c r="H216" s="115">
        <f t="shared" si="49"/>
        <v>318.00000000000045</v>
      </c>
      <c r="I216" s="115">
        <f t="shared" si="50"/>
        <v>1590.0000000000023</v>
      </c>
      <c r="J216" s="115">
        <f t="shared" si="51"/>
        <v>9672.5000000000127</v>
      </c>
      <c r="K216" s="115">
        <f t="shared" si="52"/>
        <v>76320.000000000116</v>
      </c>
      <c r="L216" s="6"/>
      <c r="M216" s="11">
        <f t="shared" si="53"/>
        <v>15.72327044025155</v>
      </c>
    </row>
    <row r="217" spans="1:13">
      <c r="A217" s="115">
        <f t="shared" si="43"/>
        <v>21.300000000000033</v>
      </c>
      <c r="B217" s="11">
        <f t="shared" si="44"/>
        <v>6.8466353677621168</v>
      </c>
      <c r="C217" s="13">
        <f t="shared" si="45"/>
        <v>34.233176838810586</v>
      </c>
      <c r="D217" s="11">
        <f t="shared" si="46"/>
        <v>136.93270735524234</v>
      </c>
      <c r="E217" s="11">
        <f t="shared" si="47"/>
        <v>1643.1924882629082</v>
      </c>
      <c r="F217" s="14">
        <f t="shared" si="48"/>
        <v>0.45644235785080778</v>
      </c>
      <c r="G217" s="6"/>
      <c r="H217" s="115">
        <f t="shared" si="49"/>
        <v>319.50000000000051</v>
      </c>
      <c r="I217" s="115">
        <f t="shared" si="50"/>
        <v>1597.5000000000025</v>
      </c>
      <c r="J217" s="115">
        <f t="shared" si="51"/>
        <v>9718.1250000000164</v>
      </c>
      <c r="K217" s="115">
        <f t="shared" si="52"/>
        <v>76680.000000000116</v>
      </c>
      <c r="L217" s="6"/>
      <c r="M217" s="11">
        <f t="shared" si="53"/>
        <v>15.649452269170554</v>
      </c>
    </row>
    <row r="218" spans="1:13">
      <c r="A218" s="115">
        <f t="shared" si="43"/>
        <v>21.400000000000034</v>
      </c>
      <c r="B218" s="11">
        <f t="shared" si="44"/>
        <v>6.8146417445482745</v>
      </c>
      <c r="C218" s="13">
        <f t="shared" si="45"/>
        <v>34.07320872274137</v>
      </c>
      <c r="D218" s="11">
        <f t="shared" si="46"/>
        <v>136.29283489096548</v>
      </c>
      <c r="E218" s="11">
        <f t="shared" si="47"/>
        <v>1635.5140186915858</v>
      </c>
      <c r="F218" s="14">
        <f t="shared" si="48"/>
        <v>0.45430944963655162</v>
      </c>
      <c r="G218" s="6"/>
      <c r="H218" s="115">
        <f t="shared" si="49"/>
        <v>321.00000000000051</v>
      </c>
      <c r="I218" s="115">
        <f t="shared" si="50"/>
        <v>1605.0000000000025</v>
      </c>
      <c r="J218" s="115">
        <f t="shared" si="51"/>
        <v>9763.7500000000164</v>
      </c>
      <c r="K218" s="115">
        <f t="shared" si="52"/>
        <v>77040.000000000116</v>
      </c>
      <c r="L218" s="6"/>
      <c r="M218" s="11">
        <f t="shared" si="53"/>
        <v>15.576323987538917</v>
      </c>
    </row>
    <row r="219" spans="1:13">
      <c r="A219" s="115">
        <f t="shared" si="43"/>
        <v>21.500000000000036</v>
      </c>
      <c r="B219" s="11">
        <f t="shared" si="44"/>
        <v>6.7829457364340966</v>
      </c>
      <c r="C219" s="13">
        <f t="shared" si="45"/>
        <v>33.914728682170484</v>
      </c>
      <c r="D219" s="11">
        <f t="shared" si="46"/>
        <v>135.65891472868194</v>
      </c>
      <c r="E219" s="11">
        <f t="shared" si="47"/>
        <v>1627.9069767441833</v>
      </c>
      <c r="F219" s="14">
        <f t="shared" si="48"/>
        <v>0.45219638242893978</v>
      </c>
      <c r="G219" s="6"/>
      <c r="H219" s="115">
        <f t="shared" si="49"/>
        <v>322.50000000000051</v>
      </c>
      <c r="I219" s="115">
        <f t="shared" si="50"/>
        <v>1612.5000000000025</v>
      </c>
      <c r="J219" s="115">
        <f t="shared" si="51"/>
        <v>9809.3750000000164</v>
      </c>
      <c r="K219" s="115">
        <f t="shared" si="52"/>
        <v>77400.000000000116</v>
      </c>
      <c r="L219" s="6"/>
      <c r="M219" s="11">
        <f t="shared" si="53"/>
        <v>15.503875968992224</v>
      </c>
    </row>
    <row r="220" spans="1:13">
      <c r="A220" s="115">
        <f t="shared" si="43"/>
        <v>21.600000000000037</v>
      </c>
      <c r="B220" s="11">
        <f t="shared" si="44"/>
        <v>6.7515432098765311</v>
      </c>
      <c r="C220" s="13">
        <f t="shared" si="45"/>
        <v>33.757716049382658</v>
      </c>
      <c r="D220" s="11">
        <f t="shared" si="46"/>
        <v>135.03086419753063</v>
      </c>
      <c r="E220" s="11">
        <f t="shared" si="47"/>
        <v>1620.3703703703677</v>
      </c>
      <c r="F220" s="14">
        <f t="shared" si="48"/>
        <v>0.4501028806584354</v>
      </c>
      <c r="G220" s="6"/>
      <c r="H220" s="115">
        <f t="shared" si="49"/>
        <v>324.00000000000057</v>
      </c>
      <c r="I220" s="115">
        <f t="shared" si="50"/>
        <v>1620.0000000000027</v>
      </c>
      <c r="J220" s="115">
        <f t="shared" si="51"/>
        <v>9855.0000000000164</v>
      </c>
      <c r="K220" s="115">
        <f t="shared" si="52"/>
        <v>77760.000000000131</v>
      </c>
      <c r="L220" s="6"/>
      <c r="M220" s="11">
        <f t="shared" si="53"/>
        <v>15.432098765432071</v>
      </c>
    </row>
    <row r="221" spans="1:13">
      <c r="A221" s="115">
        <f t="shared" si="43"/>
        <v>21.700000000000038</v>
      </c>
      <c r="B221" s="11">
        <f t="shared" si="44"/>
        <v>6.7204301075268686</v>
      </c>
      <c r="C221" s="13">
        <f t="shared" si="45"/>
        <v>33.602150537634344</v>
      </c>
      <c r="D221" s="11">
        <f t="shared" si="46"/>
        <v>134.40860215053738</v>
      </c>
      <c r="E221" s="11">
        <f t="shared" si="47"/>
        <v>1612.9032258064485</v>
      </c>
      <c r="F221" s="14">
        <f t="shared" si="48"/>
        <v>0.44802867383512457</v>
      </c>
      <c r="G221" s="6"/>
      <c r="H221" s="115">
        <f t="shared" si="49"/>
        <v>325.50000000000057</v>
      </c>
      <c r="I221" s="115">
        <f t="shared" si="50"/>
        <v>1627.5000000000027</v>
      </c>
      <c r="J221" s="115">
        <f t="shared" si="51"/>
        <v>9900.6250000000164</v>
      </c>
      <c r="K221" s="115">
        <f t="shared" si="52"/>
        <v>78120.000000000131</v>
      </c>
      <c r="L221" s="6"/>
      <c r="M221" s="11">
        <f t="shared" si="53"/>
        <v>15.36098310291856</v>
      </c>
    </row>
    <row r="222" spans="1:13">
      <c r="A222" s="115">
        <f t="shared" si="43"/>
        <v>21.80000000000004</v>
      </c>
      <c r="B222" s="11">
        <f t="shared" si="44"/>
        <v>6.6896024464831676</v>
      </c>
      <c r="C222" s="13">
        <f t="shared" si="45"/>
        <v>33.448012232415834</v>
      </c>
      <c r="D222" s="11">
        <f t="shared" si="46"/>
        <v>133.79204892966334</v>
      </c>
      <c r="E222" s="11">
        <f t="shared" si="47"/>
        <v>1605.5045871559601</v>
      </c>
      <c r="F222" s="14">
        <f t="shared" si="48"/>
        <v>0.44597349643221118</v>
      </c>
      <c r="G222" s="6"/>
      <c r="H222" s="115">
        <f t="shared" si="49"/>
        <v>327.00000000000057</v>
      </c>
      <c r="I222" s="115">
        <f t="shared" si="50"/>
        <v>1635.0000000000027</v>
      </c>
      <c r="J222" s="115">
        <f t="shared" si="51"/>
        <v>9946.2500000000164</v>
      </c>
      <c r="K222" s="115">
        <f t="shared" si="52"/>
        <v>78480.000000000131</v>
      </c>
      <c r="L222" s="6"/>
      <c r="M222" s="11">
        <f t="shared" si="53"/>
        <v>15.290519877675814</v>
      </c>
    </row>
    <row r="223" spans="1:13">
      <c r="A223" s="115">
        <f t="shared" si="43"/>
        <v>21.900000000000041</v>
      </c>
      <c r="B223" s="11">
        <f t="shared" si="44"/>
        <v>6.6590563165905499</v>
      </c>
      <c r="C223" s="13">
        <f t="shared" si="45"/>
        <v>33.295281582952747</v>
      </c>
      <c r="D223" s="11">
        <f t="shared" si="46"/>
        <v>133.18112633181099</v>
      </c>
      <c r="E223" s="11">
        <f t="shared" si="47"/>
        <v>1598.1735159817317</v>
      </c>
      <c r="F223" s="14">
        <f t="shared" si="48"/>
        <v>0.4439370877727033</v>
      </c>
      <c r="G223" s="6"/>
      <c r="H223" s="115">
        <f t="shared" si="49"/>
        <v>328.50000000000063</v>
      </c>
      <c r="I223" s="115">
        <f t="shared" si="50"/>
        <v>1642.5000000000032</v>
      </c>
      <c r="J223" s="115">
        <f t="shared" si="51"/>
        <v>9991.87500000002</v>
      </c>
      <c r="K223" s="115">
        <f t="shared" si="52"/>
        <v>78840.000000000146</v>
      </c>
      <c r="L223" s="6"/>
      <c r="M223" s="11">
        <f t="shared" si="53"/>
        <v>15.220700152206973</v>
      </c>
    </row>
    <row r="224" spans="1:13">
      <c r="A224" s="115">
        <f t="shared" si="43"/>
        <v>22.000000000000043</v>
      </c>
      <c r="B224" s="11">
        <f t="shared" si="44"/>
        <v>6.6287878787878647</v>
      </c>
      <c r="C224" s="13">
        <f t="shared" si="45"/>
        <v>33.14393939393932</v>
      </c>
      <c r="D224" s="11">
        <f t="shared" si="46"/>
        <v>132.57575757575728</v>
      </c>
      <c r="E224" s="11">
        <f t="shared" si="47"/>
        <v>1590.9090909090874</v>
      </c>
      <c r="F224" s="14">
        <f t="shared" si="48"/>
        <v>0.44191919191919099</v>
      </c>
      <c r="G224" s="6"/>
      <c r="H224" s="115">
        <f t="shared" si="49"/>
        <v>330.00000000000063</v>
      </c>
      <c r="I224" s="115">
        <f t="shared" si="50"/>
        <v>1650.0000000000032</v>
      </c>
      <c r="J224" s="115">
        <f t="shared" si="51"/>
        <v>10037.50000000002</v>
      </c>
      <c r="K224" s="115">
        <f t="shared" si="52"/>
        <v>79200.000000000146</v>
      </c>
      <c r="L224" s="6"/>
      <c r="M224" s="11">
        <f t="shared" si="53"/>
        <v>15.151515151515122</v>
      </c>
    </row>
    <row r="225" spans="1:13">
      <c r="A225" s="115">
        <f t="shared" si="43"/>
        <v>22.100000000000044</v>
      </c>
      <c r="B225" s="11">
        <f t="shared" si="44"/>
        <v>6.5987933634992322</v>
      </c>
      <c r="C225" s="13">
        <f t="shared" si="45"/>
        <v>32.993966817496158</v>
      </c>
      <c r="D225" s="11">
        <f t="shared" si="46"/>
        <v>131.97586726998463</v>
      </c>
      <c r="E225" s="11">
        <f t="shared" si="47"/>
        <v>1583.7104072398156</v>
      </c>
      <c r="F225" s="14">
        <f t="shared" si="48"/>
        <v>0.43991955756661549</v>
      </c>
      <c r="G225" s="6"/>
      <c r="H225" s="115">
        <f t="shared" si="49"/>
        <v>331.50000000000068</v>
      </c>
      <c r="I225" s="115">
        <f t="shared" si="50"/>
        <v>1657.5000000000034</v>
      </c>
      <c r="J225" s="115">
        <f t="shared" si="51"/>
        <v>10083.12500000002</v>
      </c>
      <c r="K225" s="115">
        <f t="shared" si="52"/>
        <v>79560.00000000016</v>
      </c>
      <c r="L225" s="6"/>
      <c r="M225" s="11">
        <f t="shared" si="53"/>
        <v>15.082956259426817</v>
      </c>
    </row>
    <row r="226" spans="1:13">
      <c r="A226" s="115">
        <f t="shared" si="43"/>
        <v>22.200000000000045</v>
      </c>
      <c r="B226" s="11">
        <f t="shared" si="44"/>
        <v>6.5690690690690552</v>
      </c>
      <c r="C226" s="13">
        <f t="shared" si="45"/>
        <v>32.845345345345279</v>
      </c>
      <c r="D226" s="11">
        <f t="shared" si="46"/>
        <v>131.38138138138112</v>
      </c>
      <c r="E226" s="11">
        <f t="shared" si="47"/>
        <v>1576.5765765765734</v>
      </c>
      <c r="F226" s="14">
        <f t="shared" si="48"/>
        <v>0.43793793793793701</v>
      </c>
      <c r="G226" s="6"/>
      <c r="H226" s="115">
        <f t="shared" si="49"/>
        <v>333.00000000000068</v>
      </c>
      <c r="I226" s="115">
        <f t="shared" si="50"/>
        <v>1665.0000000000034</v>
      </c>
      <c r="J226" s="115">
        <f t="shared" si="51"/>
        <v>10128.75000000002</v>
      </c>
      <c r="K226" s="115">
        <f t="shared" si="52"/>
        <v>79920.00000000016</v>
      </c>
      <c r="L226" s="6"/>
      <c r="M226" s="11">
        <f t="shared" si="53"/>
        <v>15.015015015014985</v>
      </c>
    </row>
    <row r="227" spans="1:13">
      <c r="A227" s="115">
        <f t="shared" si="43"/>
        <v>22.300000000000047</v>
      </c>
      <c r="B227" s="11">
        <f t="shared" si="44"/>
        <v>6.5396113602391486</v>
      </c>
      <c r="C227" s="13">
        <f t="shared" si="45"/>
        <v>32.69805680119574</v>
      </c>
      <c r="D227" s="11">
        <f t="shared" si="46"/>
        <v>130.79222720478296</v>
      </c>
      <c r="E227" s="11">
        <f t="shared" si="47"/>
        <v>1569.5067264573954</v>
      </c>
      <c r="F227" s="14">
        <f t="shared" si="48"/>
        <v>0.43597409068260989</v>
      </c>
      <c r="G227" s="6"/>
      <c r="H227" s="115">
        <f t="shared" si="49"/>
        <v>334.50000000000068</v>
      </c>
      <c r="I227" s="115">
        <f t="shared" si="50"/>
        <v>1672.5000000000034</v>
      </c>
      <c r="J227" s="115">
        <f t="shared" si="51"/>
        <v>10174.37500000002</v>
      </c>
      <c r="K227" s="115">
        <f t="shared" si="52"/>
        <v>80280.00000000016</v>
      </c>
      <c r="L227" s="6"/>
      <c r="M227" s="11">
        <f t="shared" si="53"/>
        <v>14.947683109118056</v>
      </c>
    </row>
    <row r="228" spans="1:13">
      <c r="A228" s="115">
        <f t="shared" si="43"/>
        <v>22.400000000000048</v>
      </c>
      <c r="B228" s="11">
        <f t="shared" si="44"/>
        <v>6.5104166666666519</v>
      </c>
      <c r="C228" s="13">
        <f t="shared" si="45"/>
        <v>32.552083333333258</v>
      </c>
      <c r="D228" s="11">
        <f t="shared" si="46"/>
        <v>130.20833333333303</v>
      </c>
      <c r="E228" s="11">
        <f t="shared" si="47"/>
        <v>1562.4999999999964</v>
      </c>
      <c r="F228" s="14">
        <f t="shared" si="48"/>
        <v>0.43402777777777679</v>
      </c>
      <c r="G228" s="6"/>
      <c r="H228" s="115">
        <f t="shared" si="49"/>
        <v>336.00000000000074</v>
      </c>
      <c r="I228" s="115">
        <f t="shared" si="50"/>
        <v>1680.0000000000036</v>
      </c>
      <c r="J228" s="115">
        <f t="shared" si="51"/>
        <v>10220.000000000024</v>
      </c>
      <c r="K228" s="115">
        <f t="shared" si="52"/>
        <v>80640.000000000175</v>
      </c>
      <c r="L228" s="6"/>
      <c r="M228" s="11">
        <f t="shared" si="53"/>
        <v>14.880952380952348</v>
      </c>
    </row>
    <row r="229" spans="1:13">
      <c r="A229" s="115">
        <f t="shared" si="43"/>
        <v>22.50000000000005</v>
      </c>
      <c r="B229" s="11">
        <f t="shared" si="44"/>
        <v>6.4814814814814667</v>
      </c>
      <c r="C229" s="13">
        <f t="shared" si="45"/>
        <v>32.407407407407334</v>
      </c>
      <c r="D229" s="11">
        <f t="shared" si="46"/>
        <v>129.62962962962933</v>
      </c>
      <c r="E229" s="11">
        <f t="shared" si="47"/>
        <v>1555.555555555552</v>
      </c>
      <c r="F229" s="14">
        <f t="shared" si="48"/>
        <v>0.4320987654320978</v>
      </c>
      <c r="G229" s="6"/>
      <c r="H229" s="115">
        <f t="shared" si="49"/>
        <v>337.50000000000074</v>
      </c>
      <c r="I229" s="115">
        <f t="shared" si="50"/>
        <v>1687.5000000000036</v>
      </c>
      <c r="J229" s="115">
        <f t="shared" si="51"/>
        <v>10265.625000000024</v>
      </c>
      <c r="K229" s="115">
        <f t="shared" si="52"/>
        <v>81000.000000000175</v>
      </c>
      <c r="L229" s="6"/>
      <c r="M229" s="11">
        <f t="shared" si="53"/>
        <v>14.814814814814783</v>
      </c>
    </row>
    <row r="230" spans="1:13">
      <c r="A230" s="115">
        <f t="shared" si="43"/>
        <v>22.600000000000051</v>
      </c>
      <c r="B230" s="11">
        <f t="shared" si="44"/>
        <v>6.4528023598819901</v>
      </c>
      <c r="C230" s="13">
        <f t="shared" si="45"/>
        <v>32.26401179940995</v>
      </c>
      <c r="D230" s="11">
        <f t="shared" si="46"/>
        <v>129.0560471976398</v>
      </c>
      <c r="E230" s="11">
        <f t="shared" si="47"/>
        <v>1548.6725663716775</v>
      </c>
      <c r="F230" s="14">
        <f t="shared" si="48"/>
        <v>0.43018682399213265</v>
      </c>
      <c r="G230" s="6"/>
      <c r="H230" s="115">
        <f t="shared" si="49"/>
        <v>339.0000000000008</v>
      </c>
      <c r="I230" s="115">
        <f t="shared" si="50"/>
        <v>1695.0000000000041</v>
      </c>
      <c r="J230" s="115">
        <f t="shared" si="51"/>
        <v>10311.250000000024</v>
      </c>
      <c r="K230" s="115">
        <f t="shared" si="52"/>
        <v>81360.000000000204</v>
      </c>
      <c r="L230" s="6"/>
      <c r="M230" s="11">
        <f t="shared" si="53"/>
        <v>14.749262536873122</v>
      </c>
    </row>
    <row r="231" spans="1:13">
      <c r="A231" s="115">
        <f t="shared" si="43"/>
        <v>22.700000000000053</v>
      </c>
      <c r="B231" s="11">
        <f t="shared" ref="B231:B257" si="54">$B$3/A231</f>
        <v>6.4243759177679722</v>
      </c>
      <c r="C231" s="13">
        <f t="shared" ref="C231:C257" si="55">B231*5</f>
        <v>32.12187958883986</v>
      </c>
      <c r="D231" s="11">
        <f t="shared" ref="D231:D257" si="56">E231/12</f>
        <v>128.48751835535944</v>
      </c>
      <c r="E231" s="11">
        <f t="shared" ref="E231:E257" si="57">C231*48</f>
        <v>1541.8502202643133</v>
      </c>
      <c r="F231" s="14">
        <f t="shared" ref="F231:F257" si="58">B231/$I$2</f>
        <v>0.42829172785119812</v>
      </c>
      <c r="G231" s="6"/>
      <c r="H231" s="115">
        <f t="shared" ref="H231:H257" si="59">A231*$I$2</f>
        <v>340.5000000000008</v>
      </c>
      <c r="I231" s="115">
        <f t="shared" ref="I231:I257" si="60">H231*5</f>
        <v>1702.5000000000041</v>
      </c>
      <c r="J231" s="115">
        <f t="shared" ref="J231:J257" si="61">H231*365/12</f>
        <v>10356.875000000024</v>
      </c>
      <c r="K231" s="115">
        <f t="shared" ref="K231:K257" si="62">I231*48</f>
        <v>81720.000000000204</v>
      </c>
      <c r="L231" s="6"/>
      <c r="M231" s="11">
        <f t="shared" ref="M231:M257" si="63">$H$1/H231</f>
        <v>14.684287812041081</v>
      </c>
    </row>
    <row r="232" spans="1:13">
      <c r="A232" s="115">
        <f t="shared" si="43"/>
        <v>22.800000000000054</v>
      </c>
      <c r="B232" s="11">
        <f t="shared" si="54"/>
        <v>6.3961988304093405</v>
      </c>
      <c r="C232" s="13">
        <f t="shared" si="55"/>
        <v>31.980994152046701</v>
      </c>
      <c r="D232" s="11">
        <f t="shared" si="56"/>
        <v>127.92397660818681</v>
      </c>
      <c r="E232" s="11">
        <f t="shared" si="57"/>
        <v>1535.0877192982416</v>
      </c>
      <c r="F232" s="14">
        <f t="shared" si="58"/>
        <v>0.42641325536062269</v>
      </c>
      <c r="G232" s="6"/>
      <c r="H232" s="115">
        <f t="shared" si="59"/>
        <v>342.0000000000008</v>
      </c>
      <c r="I232" s="115">
        <f t="shared" si="60"/>
        <v>1710.0000000000041</v>
      </c>
      <c r="J232" s="115">
        <f t="shared" si="61"/>
        <v>10402.500000000024</v>
      </c>
      <c r="K232" s="115">
        <f t="shared" si="62"/>
        <v>82080.000000000204</v>
      </c>
      <c r="L232" s="6"/>
      <c r="M232" s="11">
        <f t="shared" si="63"/>
        <v>14.619883040935639</v>
      </c>
    </row>
    <row r="233" spans="1:13">
      <c r="A233" s="115">
        <f t="shared" si="43"/>
        <v>22.900000000000055</v>
      </c>
      <c r="B233" s="11">
        <f t="shared" si="54"/>
        <v>6.368267831149911</v>
      </c>
      <c r="C233" s="13">
        <f t="shared" si="55"/>
        <v>31.841339155749555</v>
      </c>
      <c r="D233" s="11">
        <f t="shared" si="56"/>
        <v>127.36535662299822</v>
      </c>
      <c r="E233" s="11">
        <f t="shared" si="57"/>
        <v>1528.3842794759787</v>
      </c>
      <c r="F233" s="14">
        <f t="shared" si="58"/>
        <v>0.42455118874332742</v>
      </c>
      <c r="G233" s="6"/>
      <c r="H233" s="115">
        <f t="shared" si="59"/>
        <v>343.50000000000085</v>
      </c>
      <c r="I233" s="115">
        <f t="shared" si="60"/>
        <v>1717.5000000000043</v>
      </c>
      <c r="J233" s="115">
        <f t="shared" si="61"/>
        <v>10448.125000000025</v>
      </c>
      <c r="K233" s="115">
        <f t="shared" si="62"/>
        <v>82440.000000000204</v>
      </c>
      <c r="L233" s="6"/>
      <c r="M233" s="11">
        <f t="shared" si="63"/>
        <v>14.556040756914083</v>
      </c>
    </row>
    <row r="234" spans="1:13">
      <c r="A234" s="115">
        <f t="shared" si="43"/>
        <v>23.000000000000057</v>
      </c>
      <c r="B234" s="11">
        <f t="shared" si="54"/>
        <v>6.3405797101449108</v>
      </c>
      <c r="C234" s="13">
        <f t="shared" si="55"/>
        <v>31.702898550724555</v>
      </c>
      <c r="D234" s="11">
        <f t="shared" si="56"/>
        <v>126.81159420289822</v>
      </c>
      <c r="E234" s="11">
        <f t="shared" si="57"/>
        <v>1521.7391304347786</v>
      </c>
      <c r="F234" s="14">
        <f t="shared" si="58"/>
        <v>0.42270531400966072</v>
      </c>
      <c r="G234" s="6"/>
      <c r="H234" s="115">
        <f t="shared" si="59"/>
        <v>345.00000000000085</v>
      </c>
      <c r="I234" s="115">
        <f t="shared" si="60"/>
        <v>1725.0000000000043</v>
      </c>
      <c r="J234" s="115">
        <f t="shared" si="61"/>
        <v>10493.750000000025</v>
      </c>
      <c r="K234" s="115">
        <f t="shared" si="62"/>
        <v>82800.000000000204</v>
      </c>
      <c r="L234" s="6"/>
      <c r="M234" s="11">
        <f t="shared" si="63"/>
        <v>14.492753623188371</v>
      </c>
    </row>
    <row r="235" spans="1:13">
      <c r="A235" s="115">
        <f t="shared" si="43"/>
        <v>23.100000000000058</v>
      </c>
      <c r="B235" s="11">
        <f t="shared" si="54"/>
        <v>6.3131313131312963</v>
      </c>
      <c r="C235" s="13">
        <f t="shared" si="55"/>
        <v>31.565656565656482</v>
      </c>
      <c r="D235" s="11">
        <f t="shared" si="56"/>
        <v>126.26262626262593</v>
      </c>
      <c r="E235" s="11">
        <f t="shared" si="57"/>
        <v>1515.1515151515111</v>
      </c>
      <c r="F235" s="14">
        <f t="shared" si="58"/>
        <v>0.42087542087541974</v>
      </c>
      <c r="G235" s="6"/>
      <c r="H235" s="115">
        <f t="shared" si="59"/>
        <v>346.50000000000085</v>
      </c>
      <c r="I235" s="115">
        <f t="shared" si="60"/>
        <v>1732.5000000000043</v>
      </c>
      <c r="J235" s="115">
        <f t="shared" si="61"/>
        <v>10539.375000000025</v>
      </c>
      <c r="K235" s="115">
        <f t="shared" si="62"/>
        <v>83160.000000000204</v>
      </c>
      <c r="L235" s="6"/>
      <c r="M235" s="11">
        <f t="shared" si="63"/>
        <v>14.430014430014394</v>
      </c>
    </row>
    <row r="236" spans="1:13">
      <c r="A236" s="115">
        <f t="shared" si="43"/>
        <v>23.20000000000006</v>
      </c>
      <c r="B236" s="11">
        <f t="shared" si="54"/>
        <v>6.2859195402298678</v>
      </c>
      <c r="C236" s="13">
        <f t="shared" si="55"/>
        <v>31.429597701149341</v>
      </c>
      <c r="D236" s="11">
        <f t="shared" si="56"/>
        <v>125.71839080459738</v>
      </c>
      <c r="E236" s="11">
        <f t="shared" si="57"/>
        <v>1508.6206896551685</v>
      </c>
      <c r="F236" s="14">
        <f t="shared" si="58"/>
        <v>0.41906130268199121</v>
      </c>
      <c r="G236" s="6"/>
      <c r="H236" s="115">
        <f t="shared" si="59"/>
        <v>348.00000000000091</v>
      </c>
      <c r="I236" s="115">
        <f t="shared" si="60"/>
        <v>1740.0000000000045</v>
      </c>
      <c r="J236" s="115">
        <f t="shared" si="61"/>
        <v>10585.000000000027</v>
      </c>
      <c r="K236" s="115">
        <f t="shared" si="62"/>
        <v>83520.000000000218</v>
      </c>
      <c r="L236" s="6"/>
      <c r="M236" s="11">
        <f t="shared" si="63"/>
        <v>14.367816091953985</v>
      </c>
    </row>
    <row r="237" spans="1:13">
      <c r="A237" s="115">
        <f t="shared" si="43"/>
        <v>23.300000000000061</v>
      </c>
      <c r="B237" s="11">
        <f t="shared" si="54"/>
        <v>6.2589413447782372</v>
      </c>
      <c r="C237" s="13">
        <f t="shared" si="55"/>
        <v>31.294706723891185</v>
      </c>
      <c r="D237" s="11">
        <f t="shared" si="56"/>
        <v>125.17882689556474</v>
      </c>
      <c r="E237" s="11">
        <f t="shared" si="57"/>
        <v>1502.1459227467769</v>
      </c>
      <c r="F237" s="14">
        <f t="shared" si="58"/>
        <v>0.41726275631854914</v>
      </c>
      <c r="G237" s="6"/>
      <c r="H237" s="115">
        <f t="shared" si="59"/>
        <v>349.50000000000091</v>
      </c>
      <c r="I237" s="115">
        <f t="shared" si="60"/>
        <v>1747.5000000000045</v>
      </c>
      <c r="J237" s="115">
        <f t="shared" si="61"/>
        <v>10630.625000000027</v>
      </c>
      <c r="K237" s="115">
        <f t="shared" si="62"/>
        <v>83880.000000000218</v>
      </c>
      <c r="L237" s="6"/>
      <c r="M237" s="11">
        <f t="shared" si="63"/>
        <v>14.306151645207402</v>
      </c>
    </row>
    <row r="238" spans="1:13">
      <c r="A238" s="115">
        <f t="shared" si="43"/>
        <v>23.400000000000063</v>
      </c>
      <c r="B238" s="11">
        <f t="shared" si="54"/>
        <v>6.2321937321937151</v>
      </c>
      <c r="C238" s="13">
        <f t="shared" si="55"/>
        <v>31.160968660968575</v>
      </c>
      <c r="D238" s="11">
        <f t="shared" si="56"/>
        <v>124.6438746438743</v>
      </c>
      <c r="E238" s="11">
        <f t="shared" si="57"/>
        <v>1495.7264957264915</v>
      </c>
      <c r="F238" s="14">
        <f t="shared" si="58"/>
        <v>0.41547958214624769</v>
      </c>
      <c r="G238" s="6"/>
      <c r="H238" s="115">
        <f t="shared" si="59"/>
        <v>351.00000000000091</v>
      </c>
      <c r="I238" s="115">
        <f t="shared" si="60"/>
        <v>1755.0000000000045</v>
      </c>
      <c r="J238" s="115">
        <f t="shared" si="61"/>
        <v>10676.250000000027</v>
      </c>
      <c r="K238" s="115">
        <f t="shared" si="62"/>
        <v>84240.000000000218</v>
      </c>
      <c r="L238" s="6"/>
      <c r="M238" s="11">
        <f t="shared" si="63"/>
        <v>14.245014245014207</v>
      </c>
    </row>
    <row r="239" spans="1:13">
      <c r="A239" s="115">
        <f t="shared" si="43"/>
        <v>23.500000000000064</v>
      </c>
      <c r="B239" s="11">
        <f t="shared" si="54"/>
        <v>6.2056737588652302</v>
      </c>
      <c r="C239" s="13">
        <f t="shared" si="55"/>
        <v>31.028368794326152</v>
      </c>
      <c r="D239" s="11">
        <f t="shared" si="56"/>
        <v>124.11347517730461</v>
      </c>
      <c r="E239" s="11">
        <f t="shared" si="57"/>
        <v>1489.3617021276552</v>
      </c>
      <c r="F239" s="14">
        <f t="shared" si="58"/>
        <v>0.4137115839243487</v>
      </c>
      <c r="G239" s="6"/>
      <c r="H239" s="115">
        <f t="shared" si="59"/>
        <v>352.50000000000097</v>
      </c>
      <c r="I239" s="115">
        <f t="shared" si="60"/>
        <v>1762.5000000000048</v>
      </c>
      <c r="J239" s="115">
        <f t="shared" si="61"/>
        <v>10721.875000000029</v>
      </c>
      <c r="K239" s="115">
        <f t="shared" si="62"/>
        <v>84600.000000000233</v>
      </c>
      <c r="L239" s="6"/>
      <c r="M239" s="11">
        <f t="shared" si="63"/>
        <v>14.184397163120529</v>
      </c>
    </row>
    <row r="240" spans="1:13">
      <c r="A240" s="115">
        <f t="shared" si="43"/>
        <v>23.600000000000065</v>
      </c>
      <c r="B240" s="11">
        <f t="shared" si="54"/>
        <v>6.1793785310734286</v>
      </c>
      <c r="C240" s="13">
        <f t="shared" si="55"/>
        <v>30.896892655367143</v>
      </c>
      <c r="D240" s="11">
        <f t="shared" si="56"/>
        <v>123.58757062146857</v>
      </c>
      <c r="E240" s="11">
        <f t="shared" si="57"/>
        <v>1483.0508474576229</v>
      </c>
      <c r="F240" s="14">
        <f t="shared" si="58"/>
        <v>0.41195856873822856</v>
      </c>
      <c r="G240" s="6"/>
      <c r="H240" s="115">
        <f t="shared" si="59"/>
        <v>354.00000000000097</v>
      </c>
      <c r="I240" s="115">
        <f t="shared" si="60"/>
        <v>1770.0000000000048</v>
      </c>
      <c r="J240" s="115">
        <f t="shared" si="61"/>
        <v>10767.500000000029</v>
      </c>
      <c r="K240" s="115">
        <f t="shared" si="62"/>
        <v>84960.000000000233</v>
      </c>
      <c r="L240" s="6"/>
      <c r="M240" s="11">
        <f t="shared" si="63"/>
        <v>14.124293785310696</v>
      </c>
    </row>
    <row r="241" spans="1:13">
      <c r="A241" s="115">
        <f t="shared" si="43"/>
        <v>23.700000000000067</v>
      </c>
      <c r="B241" s="11">
        <f t="shared" si="54"/>
        <v>6.1533052039380971</v>
      </c>
      <c r="C241" s="13">
        <f t="shared" si="55"/>
        <v>30.766526019690485</v>
      </c>
      <c r="D241" s="11">
        <f t="shared" si="56"/>
        <v>123.06610407876194</v>
      </c>
      <c r="E241" s="11">
        <f t="shared" si="57"/>
        <v>1476.7932489451432</v>
      </c>
      <c r="F241" s="14">
        <f t="shared" si="58"/>
        <v>0.41022034692920645</v>
      </c>
      <c r="G241" s="6"/>
      <c r="H241" s="115">
        <f t="shared" si="59"/>
        <v>355.50000000000102</v>
      </c>
      <c r="I241" s="115">
        <f t="shared" si="60"/>
        <v>1777.500000000005</v>
      </c>
      <c r="J241" s="115">
        <f t="shared" si="61"/>
        <v>10813.125000000031</v>
      </c>
      <c r="K241" s="115">
        <f t="shared" si="62"/>
        <v>85320.000000000233</v>
      </c>
      <c r="L241" s="6"/>
      <c r="M241" s="11">
        <f t="shared" si="63"/>
        <v>14.064697609001366</v>
      </c>
    </row>
    <row r="242" spans="1:13">
      <c r="A242" s="115">
        <f t="shared" si="43"/>
        <v>23.800000000000068</v>
      </c>
      <c r="B242" s="11">
        <f t="shared" si="54"/>
        <v>6.1274509803921386</v>
      </c>
      <c r="C242" s="13">
        <f t="shared" si="55"/>
        <v>30.637254901960695</v>
      </c>
      <c r="D242" s="11">
        <f t="shared" si="56"/>
        <v>122.54901960784279</v>
      </c>
      <c r="E242" s="11">
        <f t="shared" si="57"/>
        <v>1470.5882352941135</v>
      </c>
      <c r="F242" s="14">
        <f t="shared" si="58"/>
        <v>0.40849673202614256</v>
      </c>
      <c r="G242" s="6"/>
      <c r="H242" s="115">
        <f t="shared" si="59"/>
        <v>357.00000000000102</v>
      </c>
      <c r="I242" s="115">
        <f t="shared" si="60"/>
        <v>1785.000000000005</v>
      </c>
      <c r="J242" s="115">
        <f t="shared" si="61"/>
        <v>10858.750000000031</v>
      </c>
      <c r="K242" s="115">
        <f t="shared" si="62"/>
        <v>85680.000000000233</v>
      </c>
      <c r="L242" s="6"/>
      <c r="M242" s="11">
        <f t="shared" si="63"/>
        <v>14.005602240896318</v>
      </c>
    </row>
    <row r="243" spans="1:13">
      <c r="A243" s="115">
        <f t="shared" si="43"/>
        <v>23.90000000000007</v>
      </c>
      <c r="B243" s="11">
        <f t="shared" si="54"/>
        <v>6.1018131101812925</v>
      </c>
      <c r="C243" s="13">
        <f t="shared" si="55"/>
        <v>30.509065550906463</v>
      </c>
      <c r="D243" s="11">
        <f t="shared" si="56"/>
        <v>122.03626220362587</v>
      </c>
      <c r="E243" s="11">
        <f t="shared" si="57"/>
        <v>1464.4351464435103</v>
      </c>
      <c r="F243" s="14">
        <f t="shared" si="58"/>
        <v>0.40678754067875283</v>
      </c>
      <c r="G243" s="6"/>
      <c r="H243" s="115">
        <f t="shared" si="59"/>
        <v>358.50000000000102</v>
      </c>
      <c r="I243" s="115">
        <f t="shared" si="60"/>
        <v>1792.500000000005</v>
      </c>
      <c r="J243" s="115">
        <f t="shared" si="61"/>
        <v>10904.375000000031</v>
      </c>
      <c r="K243" s="115">
        <f t="shared" si="62"/>
        <v>86040.000000000233</v>
      </c>
      <c r="L243" s="6"/>
      <c r="M243" s="11">
        <f t="shared" si="63"/>
        <v>13.9470013947001</v>
      </c>
    </row>
    <row r="244" spans="1:13">
      <c r="A244" s="115">
        <f t="shared" si="43"/>
        <v>24.000000000000071</v>
      </c>
      <c r="B244" s="11">
        <f t="shared" si="54"/>
        <v>6.0763888888888697</v>
      </c>
      <c r="C244" s="13">
        <f t="shared" si="55"/>
        <v>30.38194444444435</v>
      </c>
      <c r="D244" s="11">
        <f t="shared" si="56"/>
        <v>121.52777777777742</v>
      </c>
      <c r="E244" s="11">
        <f t="shared" si="57"/>
        <v>1458.3333333333289</v>
      </c>
      <c r="F244" s="14">
        <f t="shared" si="58"/>
        <v>0.40509259259259134</v>
      </c>
      <c r="G244" s="6"/>
      <c r="H244" s="115">
        <f t="shared" si="59"/>
        <v>360.00000000000108</v>
      </c>
      <c r="I244" s="115">
        <f t="shared" si="60"/>
        <v>1800.0000000000055</v>
      </c>
      <c r="J244" s="115">
        <f t="shared" si="61"/>
        <v>10950.000000000035</v>
      </c>
      <c r="K244" s="115">
        <f t="shared" si="62"/>
        <v>86400.000000000262</v>
      </c>
      <c r="L244" s="6"/>
      <c r="M244" s="11">
        <f t="shared" si="63"/>
        <v>13.888888888888847</v>
      </c>
    </row>
    <row r="245" spans="1:13">
      <c r="A245" s="115">
        <f t="shared" si="43"/>
        <v>24.100000000000072</v>
      </c>
      <c r="B245" s="11">
        <f t="shared" si="54"/>
        <v>6.0511756569847668</v>
      </c>
      <c r="C245" s="13">
        <f t="shared" si="55"/>
        <v>30.255878284923835</v>
      </c>
      <c r="D245" s="11">
        <f t="shared" si="56"/>
        <v>121.02351313969534</v>
      </c>
      <c r="E245" s="11">
        <f t="shared" si="57"/>
        <v>1452.282157676344</v>
      </c>
      <c r="F245" s="14">
        <f t="shared" si="58"/>
        <v>0.40341171046565111</v>
      </c>
      <c r="G245" s="6"/>
      <c r="H245" s="115">
        <f t="shared" si="59"/>
        <v>361.50000000000108</v>
      </c>
      <c r="I245" s="115">
        <f t="shared" si="60"/>
        <v>1807.5000000000055</v>
      </c>
      <c r="J245" s="115">
        <f t="shared" si="61"/>
        <v>10995.625000000035</v>
      </c>
      <c r="K245" s="115">
        <f t="shared" si="62"/>
        <v>86760.000000000262</v>
      </c>
      <c r="L245" s="6"/>
      <c r="M245" s="11">
        <f t="shared" si="63"/>
        <v>13.831258644536611</v>
      </c>
    </row>
    <row r="246" spans="1:13">
      <c r="A246" s="115">
        <f t="shared" si="43"/>
        <v>24.200000000000074</v>
      </c>
      <c r="B246" s="11">
        <f t="shared" si="54"/>
        <v>6.0261707988980522</v>
      </c>
      <c r="C246" s="13">
        <f t="shared" si="55"/>
        <v>30.130853994490259</v>
      </c>
      <c r="D246" s="11">
        <f t="shared" si="56"/>
        <v>120.52341597796105</v>
      </c>
      <c r="E246" s="11">
        <f t="shared" si="57"/>
        <v>1446.2809917355326</v>
      </c>
      <c r="F246" s="14">
        <f t="shared" si="58"/>
        <v>0.40174471992653682</v>
      </c>
      <c r="G246" s="6"/>
      <c r="H246" s="115">
        <f t="shared" si="59"/>
        <v>363.00000000000114</v>
      </c>
      <c r="I246" s="115">
        <f t="shared" si="60"/>
        <v>1815.0000000000057</v>
      </c>
      <c r="J246" s="115">
        <f t="shared" si="61"/>
        <v>11041.250000000035</v>
      </c>
      <c r="K246" s="115">
        <f t="shared" si="62"/>
        <v>87120.000000000276</v>
      </c>
      <c r="L246" s="6"/>
      <c r="M246" s="11">
        <f t="shared" si="63"/>
        <v>13.774104683195549</v>
      </c>
    </row>
    <row r="247" spans="1:13">
      <c r="A247" s="115">
        <f t="shared" si="43"/>
        <v>24.300000000000075</v>
      </c>
      <c r="B247" s="11">
        <f t="shared" si="54"/>
        <v>6.0013717421124637</v>
      </c>
      <c r="C247" s="13">
        <f t="shared" si="55"/>
        <v>30.006858710562319</v>
      </c>
      <c r="D247" s="11">
        <f t="shared" si="56"/>
        <v>120.02743484224929</v>
      </c>
      <c r="E247" s="11">
        <f t="shared" si="57"/>
        <v>1440.3292181069914</v>
      </c>
      <c r="F247" s="14">
        <f t="shared" si="58"/>
        <v>0.40009144947416425</v>
      </c>
      <c r="G247" s="6"/>
      <c r="H247" s="115">
        <f t="shared" si="59"/>
        <v>364.50000000000114</v>
      </c>
      <c r="I247" s="115">
        <f t="shared" si="60"/>
        <v>1822.5000000000057</v>
      </c>
      <c r="J247" s="115">
        <f t="shared" si="61"/>
        <v>11086.875000000035</v>
      </c>
      <c r="K247" s="115">
        <f t="shared" si="62"/>
        <v>87480.000000000276</v>
      </c>
      <c r="L247" s="6"/>
      <c r="M247" s="11">
        <f t="shared" si="63"/>
        <v>13.717421124828489</v>
      </c>
    </row>
    <row r="248" spans="1:13">
      <c r="A248" s="115">
        <f t="shared" si="43"/>
        <v>24.400000000000077</v>
      </c>
      <c r="B248" s="11">
        <f t="shared" si="54"/>
        <v>5.9767759562841336</v>
      </c>
      <c r="C248" s="13">
        <f t="shared" si="55"/>
        <v>29.883879781420667</v>
      </c>
      <c r="D248" s="11">
        <f t="shared" si="56"/>
        <v>119.53551912568268</v>
      </c>
      <c r="E248" s="11">
        <f t="shared" si="57"/>
        <v>1434.4262295081921</v>
      </c>
      <c r="F248" s="14">
        <f t="shared" si="58"/>
        <v>0.39845173041894222</v>
      </c>
      <c r="G248" s="6"/>
      <c r="H248" s="115">
        <f t="shared" si="59"/>
        <v>366.00000000000114</v>
      </c>
      <c r="I248" s="115">
        <f t="shared" si="60"/>
        <v>1830.0000000000057</v>
      </c>
      <c r="J248" s="115">
        <f t="shared" si="61"/>
        <v>11132.500000000035</v>
      </c>
      <c r="K248" s="115">
        <f t="shared" si="62"/>
        <v>87840.000000000276</v>
      </c>
      <c r="L248" s="6"/>
      <c r="M248" s="11">
        <f t="shared" si="63"/>
        <v>13.661202185792307</v>
      </c>
    </row>
    <row r="249" spans="1:13">
      <c r="A249" s="115">
        <f t="shared" si="43"/>
        <v>24.500000000000078</v>
      </c>
      <c r="B249" s="11">
        <f t="shared" si="54"/>
        <v>5.952380952380933</v>
      </c>
      <c r="C249" s="13">
        <f t="shared" si="55"/>
        <v>29.761904761904667</v>
      </c>
      <c r="D249" s="11">
        <f t="shared" si="56"/>
        <v>119.04761904761865</v>
      </c>
      <c r="E249" s="11">
        <f t="shared" si="57"/>
        <v>1428.5714285714239</v>
      </c>
      <c r="F249" s="14">
        <f t="shared" si="58"/>
        <v>0.39682539682539553</v>
      </c>
      <c r="G249" s="6"/>
      <c r="H249" s="115">
        <f t="shared" si="59"/>
        <v>367.50000000000119</v>
      </c>
      <c r="I249" s="115">
        <f t="shared" si="60"/>
        <v>1837.5000000000059</v>
      </c>
      <c r="J249" s="115">
        <f t="shared" si="61"/>
        <v>11178.125000000036</v>
      </c>
      <c r="K249" s="115">
        <f t="shared" si="62"/>
        <v>88200.000000000291</v>
      </c>
      <c r="L249" s="6"/>
      <c r="M249" s="11">
        <f t="shared" si="63"/>
        <v>13.605442176870705</v>
      </c>
    </row>
    <row r="250" spans="1:13">
      <c r="A250" s="115">
        <f t="shared" si="43"/>
        <v>24.60000000000008</v>
      </c>
      <c r="B250" s="11">
        <f t="shared" si="54"/>
        <v>5.9281842818427988</v>
      </c>
      <c r="C250" s="13">
        <f t="shared" si="55"/>
        <v>29.640921409213995</v>
      </c>
      <c r="D250" s="11">
        <f t="shared" si="56"/>
        <v>118.56368563685596</v>
      </c>
      <c r="E250" s="11">
        <f t="shared" si="57"/>
        <v>1422.7642276422716</v>
      </c>
      <c r="F250" s="14">
        <f t="shared" si="58"/>
        <v>0.39521228545618659</v>
      </c>
      <c r="G250" s="6"/>
      <c r="H250" s="115">
        <f t="shared" si="59"/>
        <v>369.00000000000119</v>
      </c>
      <c r="I250" s="115">
        <f t="shared" si="60"/>
        <v>1845.0000000000059</v>
      </c>
      <c r="J250" s="115">
        <f t="shared" si="61"/>
        <v>11223.750000000036</v>
      </c>
      <c r="K250" s="115">
        <f t="shared" si="62"/>
        <v>88560.000000000291</v>
      </c>
      <c r="L250" s="6"/>
      <c r="M250" s="11">
        <f t="shared" si="63"/>
        <v>13.550135501354969</v>
      </c>
    </row>
    <row r="251" spans="1:13">
      <c r="A251" s="115">
        <f t="shared" si="43"/>
        <v>24.700000000000081</v>
      </c>
      <c r="B251" s="11">
        <f t="shared" si="54"/>
        <v>5.9041835357624626</v>
      </c>
      <c r="C251" s="13">
        <f t="shared" si="55"/>
        <v>29.520917678812314</v>
      </c>
      <c r="D251" s="11">
        <f t="shared" si="56"/>
        <v>118.08367071524926</v>
      </c>
      <c r="E251" s="11">
        <f t="shared" si="57"/>
        <v>1417.0040485829911</v>
      </c>
      <c r="F251" s="14">
        <f t="shared" si="58"/>
        <v>0.39361223571749748</v>
      </c>
      <c r="G251" s="6"/>
      <c r="H251" s="115">
        <f t="shared" si="59"/>
        <v>370.50000000000119</v>
      </c>
      <c r="I251" s="115">
        <f t="shared" si="60"/>
        <v>1852.5000000000059</v>
      </c>
      <c r="J251" s="115">
        <f t="shared" si="61"/>
        <v>11269.375000000036</v>
      </c>
      <c r="K251" s="115">
        <f t="shared" si="62"/>
        <v>88920.000000000291</v>
      </c>
      <c r="L251" s="6"/>
      <c r="M251" s="11">
        <f t="shared" si="63"/>
        <v>13.495276653171347</v>
      </c>
    </row>
    <row r="252" spans="1:13">
      <c r="A252" s="115">
        <f t="shared" si="43"/>
        <v>24.800000000000082</v>
      </c>
      <c r="B252" s="11">
        <f t="shared" si="54"/>
        <v>5.8803763440860015</v>
      </c>
      <c r="C252" s="13">
        <f t="shared" si="55"/>
        <v>29.401881720430008</v>
      </c>
      <c r="D252" s="11">
        <f t="shared" si="56"/>
        <v>117.60752688172003</v>
      </c>
      <c r="E252" s="11">
        <f t="shared" si="57"/>
        <v>1411.2903225806403</v>
      </c>
      <c r="F252" s="14">
        <f t="shared" si="58"/>
        <v>0.39202508960573346</v>
      </c>
      <c r="G252" s="6"/>
      <c r="H252" s="115">
        <f t="shared" si="59"/>
        <v>372.00000000000125</v>
      </c>
      <c r="I252" s="115">
        <f t="shared" si="60"/>
        <v>1860.0000000000064</v>
      </c>
      <c r="J252" s="115">
        <f t="shared" si="61"/>
        <v>11315.000000000038</v>
      </c>
      <c r="K252" s="115">
        <f t="shared" si="62"/>
        <v>89280.000000000306</v>
      </c>
      <c r="L252" s="6"/>
      <c r="M252" s="11">
        <f t="shared" si="63"/>
        <v>13.440860215053718</v>
      </c>
    </row>
    <row r="253" spans="1:13">
      <c r="A253" s="115">
        <f t="shared" si="43"/>
        <v>24.900000000000084</v>
      </c>
      <c r="B253" s="11">
        <f t="shared" si="54"/>
        <v>5.8567603748326436</v>
      </c>
      <c r="C253" s="13">
        <f t="shared" si="55"/>
        <v>29.283801874163217</v>
      </c>
      <c r="D253" s="11">
        <f t="shared" si="56"/>
        <v>117.13520749665287</v>
      </c>
      <c r="E253" s="11">
        <f t="shared" si="57"/>
        <v>1405.6224899598344</v>
      </c>
      <c r="F253" s="14">
        <f t="shared" si="58"/>
        <v>0.39045069165550955</v>
      </c>
      <c r="G253" s="6"/>
      <c r="H253" s="115">
        <f t="shared" si="59"/>
        <v>373.50000000000125</v>
      </c>
      <c r="I253" s="115">
        <f t="shared" si="60"/>
        <v>1867.5000000000064</v>
      </c>
      <c r="J253" s="115">
        <f t="shared" si="61"/>
        <v>11360.625000000038</v>
      </c>
      <c r="K253" s="115">
        <f t="shared" si="62"/>
        <v>89640.000000000306</v>
      </c>
      <c r="L253" s="6"/>
      <c r="M253" s="11">
        <f t="shared" si="63"/>
        <v>13.38688085676033</v>
      </c>
    </row>
    <row r="254" spans="1:13">
      <c r="A254" s="115">
        <f t="shared" ref="A254:A317" si="64">A253+0.1</f>
        <v>25.000000000000085</v>
      </c>
      <c r="B254" s="11">
        <f t="shared" si="54"/>
        <v>5.8333333333333126</v>
      </c>
      <c r="C254" s="13">
        <f t="shared" si="55"/>
        <v>29.166666666666565</v>
      </c>
      <c r="D254" s="11">
        <f t="shared" si="56"/>
        <v>116.66666666666625</v>
      </c>
      <c r="E254" s="11">
        <f t="shared" si="57"/>
        <v>1399.999999999995</v>
      </c>
      <c r="F254" s="14">
        <f t="shared" si="58"/>
        <v>0.38888888888888751</v>
      </c>
      <c r="G254" s="6"/>
      <c r="H254" s="115">
        <f t="shared" si="59"/>
        <v>375.00000000000125</v>
      </c>
      <c r="I254" s="115">
        <f t="shared" si="60"/>
        <v>1875.0000000000064</v>
      </c>
      <c r="J254" s="115">
        <f t="shared" si="61"/>
        <v>11406.250000000038</v>
      </c>
      <c r="K254" s="115">
        <f t="shared" si="62"/>
        <v>90000.000000000306</v>
      </c>
      <c r="L254" s="6"/>
      <c r="M254" s="11">
        <f t="shared" si="63"/>
        <v>13.33333333333329</v>
      </c>
    </row>
    <row r="255" spans="1:13">
      <c r="A255" s="115">
        <f t="shared" si="64"/>
        <v>25.100000000000087</v>
      </c>
      <c r="B255" s="11">
        <f t="shared" si="54"/>
        <v>5.8100929614873627</v>
      </c>
      <c r="C255" s="13">
        <f t="shared" si="55"/>
        <v>29.050464807436814</v>
      </c>
      <c r="D255" s="11">
        <f t="shared" si="56"/>
        <v>116.20185922974726</v>
      </c>
      <c r="E255" s="11">
        <f t="shared" si="57"/>
        <v>1394.4223107569671</v>
      </c>
      <c r="F255" s="14">
        <f t="shared" si="58"/>
        <v>0.38733953076582417</v>
      </c>
      <c r="G255" s="6"/>
      <c r="H255" s="115">
        <f t="shared" si="59"/>
        <v>376.50000000000131</v>
      </c>
      <c r="I255" s="115">
        <f t="shared" si="60"/>
        <v>1882.5000000000066</v>
      </c>
      <c r="J255" s="115">
        <f t="shared" si="61"/>
        <v>11451.875000000038</v>
      </c>
      <c r="K255" s="115">
        <f t="shared" si="62"/>
        <v>90360.00000000032</v>
      </c>
      <c r="L255" s="6"/>
      <c r="M255" s="11">
        <f t="shared" si="63"/>
        <v>13.280212483399689</v>
      </c>
    </row>
    <row r="256" spans="1:13">
      <c r="A256" s="115">
        <f t="shared" si="64"/>
        <v>25.200000000000088</v>
      </c>
      <c r="B256" s="11">
        <f t="shared" si="54"/>
        <v>5.7870370370370159</v>
      </c>
      <c r="C256" s="13">
        <f t="shared" si="55"/>
        <v>28.93518518518508</v>
      </c>
      <c r="D256" s="11">
        <f t="shared" si="56"/>
        <v>115.74074074074032</v>
      </c>
      <c r="E256" s="11">
        <f t="shared" si="57"/>
        <v>1388.8888888888839</v>
      </c>
      <c r="F256" s="14">
        <f t="shared" si="58"/>
        <v>0.38580246913580107</v>
      </c>
      <c r="G256" s="6"/>
      <c r="H256" s="115">
        <f t="shared" si="59"/>
        <v>378.00000000000131</v>
      </c>
      <c r="I256" s="115">
        <f t="shared" si="60"/>
        <v>1890.0000000000066</v>
      </c>
      <c r="J256" s="115">
        <f t="shared" si="61"/>
        <v>11497.500000000038</v>
      </c>
      <c r="K256" s="115">
        <f t="shared" si="62"/>
        <v>90720.00000000032</v>
      </c>
      <c r="L256" s="6"/>
      <c r="M256" s="11">
        <f t="shared" si="63"/>
        <v>13.227513227513182</v>
      </c>
    </row>
    <row r="257" spans="1:13">
      <c r="A257" s="115">
        <f t="shared" si="64"/>
        <v>25.30000000000009</v>
      </c>
      <c r="B257" s="11">
        <f t="shared" si="54"/>
        <v>5.764163372859004</v>
      </c>
      <c r="C257" s="13">
        <f t="shared" si="55"/>
        <v>28.820816864295018</v>
      </c>
      <c r="D257" s="11">
        <f t="shared" si="56"/>
        <v>115.28326745718009</v>
      </c>
      <c r="E257" s="11">
        <f t="shared" si="57"/>
        <v>1383.399209486161</v>
      </c>
      <c r="F257" s="14">
        <f t="shared" si="58"/>
        <v>0.38427755819060028</v>
      </c>
      <c r="G257" s="6"/>
      <c r="H257" s="115">
        <f t="shared" si="59"/>
        <v>379.50000000000136</v>
      </c>
      <c r="I257" s="115">
        <f t="shared" si="60"/>
        <v>1897.5000000000068</v>
      </c>
      <c r="J257" s="115">
        <f t="shared" si="61"/>
        <v>11543.125000000042</v>
      </c>
      <c r="K257" s="115">
        <f t="shared" si="62"/>
        <v>91080.00000000032</v>
      </c>
      <c r="L257" s="6"/>
      <c r="M257" s="11">
        <f t="shared" si="63"/>
        <v>13.175230566534866</v>
      </c>
    </row>
    <row r="258" spans="1:13">
      <c r="A258" s="115">
        <f t="shared" si="64"/>
        <v>25.400000000000091</v>
      </c>
      <c r="B258" s="11">
        <f t="shared" ref="B258:B321" si="65">$B$3/A258</f>
        <v>5.7414698162729447</v>
      </c>
      <c r="C258" s="13">
        <f t="shared" ref="C258:C321" si="66">B258*5</f>
        <v>28.707349081364725</v>
      </c>
      <c r="D258" s="11">
        <f t="shared" ref="D258:D321" si="67">E258/12</f>
        <v>114.8293963254589</v>
      </c>
      <c r="E258" s="11">
        <f t="shared" ref="E258:E321" si="68">C258*48</f>
        <v>1377.9527559055068</v>
      </c>
      <c r="F258" s="14">
        <f t="shared" ref="F258:F321" si="69">B258/$I$2</f>
        <v>0.38276465441819629</v>
      </c>
      <c r="G258" s="6"/>
      <c r="H258" s="115">
        <f t="shared" ref="H258:H321" si="70">A258*$I$2</f>
        <v>381.00000000000136</v>
      </c>
      <c r="I258" s="115">
        <f t="shared" ref="I258:I321" si="71">H258*5</f>
        <v>1905.0000000000068</v>
      </c>
      <c r="J258" s="115">
        <f t="shared" ref="J258:J321" si="72">H258*365/12</f>
        <v>11588.750000000042</v>
      </c>
      <c r="K258" s="115">
        <f t="shared" ref="K258:K321" si="73">I258*48</f>
        <v>91440.00000000032</v>
      </c>
      <c r="L258" s="6"/>
      <c r="M258" s="11">
        <f t="shared" ref="M258:M321" si="74">$H$1/H258</f>
        <v>13.123359580052446</v>
      </c>
    </row>
    <row r="259" spans="1:13">
      <c r="A259" s="115">
        <f t="shared" si="64"/>
        <v>25.500000000000092</v>
      </c>
      <c r="B259" s="11">
        <f t="shared" si="65"/>
        <v>5.7189542483659919</v>
      </c>
      <c r="C259" s="13">
        <f t="shared" si="66"/>
        <v>28.59477124182996</v>
      </c>
      <c r="D259" s="11">
        <f t="shared" si="67"/>
        <v>114.37908496731984</v>
      </c>
      <c r="E259" s="11">
        <f t="shared" si="68"/>
        <v>1372.5490196078381</v>
      </c>
      <c r="F259" s="14">
        <f t="shared" si="69"/>
        <v>0.38126361655773278</v>
      </c>
      <c r="G259" s="6"/>
      <c r="H259" s="115">
        <f t="shared" si="70"/>
        <v>382.50000000000136</v>
      </c>
      <c r="I259" s="115">
        <f t="shared" si="71"/>
        <v>1912.5000000000068</v>
      </c>
      <c r="J259" s="115">
        <f t="shared" si="72"/>
        <v>11634.375000000042</v>
      </c>
      <c r="K259" s="115">
        <f t="shared" si="73"/>
        <v>91800.00000000032</v>
      </c>
      <c r="L259" s="6"/>
      <c r="M259" s="11">
        <f t="shared" si="74"/>
        <v>13.071895424836555</v>
      </c>
    </row>
    <row r="260" spans="1:13">
      <c r="A260" s="115">
        <f t="shared" si="64"/>
        <v>25.600000000000094</v>
      </c>
      <c r="B260" s="11">
        <f t="shared" si="65"/>
        <v>5.6966145833333117</v>
      </c>
      <c r="C260" s="13">
        <f t="shared" si="66"/>
        <v>28.483072916666558</v>
      </c>
      <c r="D260" s="11">
        <f t="shared" si="67"/>
        <v>113.93229166666623</v>
      </c>
      <c r="E260" s="11">
        <f t="shared" si="68"/>
        <v>1367.1874999999948</v>
      </c>
      <c r="F260" s="14">
        <f t="shared" si="69"/>
        <v>0.37977430555555414</v>
      </c>
      <c r="G260" s="6"/>
      <c r="H260" s="115">
        <f t="shared" si="70"/>
        <v>384.00000000000142</v>
      </c>
      <c r="I260" s="115">
        <f t="shared" si="71"/>
        <v>1920.000000000007</v>
      </c>
      <c r="J260" s="115">
        <f t="shared" si="72"/>
        <v>11680.000000000044</v>
      </c>
      <c r="K260" s="115">
        <f t="shared" si="73"/>
        <v>92160.000000000335</v>
      </c>
      <c r="L260" s="6"/>
      <c r="M260" s="11">
        <f t="shared" si="74"/>
        <v>13.020833333333286</v>
      </c>
    </row>
    <row r="261" spans="1:13">
      <c r="A261" s="115">
        <f t="shared" si="64"/>
        <v>25.700000000000095</v>
      </c>
      <c r="B261" s="11">
        <f t="shared" si="65"/>
        <v>5.6744487678339599</v>
      </c>
      <c r="C261" s="13">
        <f t="shared" si="66"/>
        <v>28.372243839169798</v>
      </c>
      <c r="D261" s="11">
        <f t="shared" si="67"/>
        <v>113.48897535667919</v>
      </c>
      <c r="E261" s="11">
        <f t="shared" si="68"/>
        <v>1361.8677042801503</v>
      </c>
      <c r="F261" s="14">
        <f t="shared" si="69"/>
        <v>0.378296584522264</v>
      </c>
      <c r="G261" s="6"/>
      <c r="H261" s="115">
        <f t="shared" si="70"/>
        <v>385.50000000000142</v>
      </c>
      <c r="I261" s="115">
        <f t="shared" si="71"/>
        <v>1927.500000000007</v>
      </c>
      <c r="J261" s="115">
        <f t="shared" si="72"/>
        <v>11725.625000000044</v>
      </c>
      <c r="K261" s="115">
        <f t="shared" si="73"/>
        <v>92520.000000000335</v>
      </c>
      <c r="L261" s="6"/>
      <c r="M261" s="11">
        <f t="shared" si="74"/>
        <v>12.970168612191911</v>
      </c>
    </row>
    <row r="262" spans="1:13">
      <c r="A262" s="115">
        <f t="shared" si="64"/>
        <v>25.800000000000097</v>
      </c>
      <c r="B262" s="11">
        <f t="shared" si="65"/>
        <v>5.6524547803617349</v>
      </c>
      <c r="C262" s="13">
        <f t="shared" si="66"/>
        <v>28.262273901808676</v>
      </c>
      <c r="D262" s="11">
        <f t="shared" si="67"/>
        <v>113.04909560723472</v>
      </c>
      <c r="E262" s="11">
        <f t="shared" si="68"/>
        <v>1356.5891472868166</v>
      </c>
      <c r="F262" s="14">
        <f t="shared" si="69"/>
        <v>0.37683031869078232</v>
      </c>
      <c r="G262" s="6"/>
      <c r="H262" s="115">
        <f t="shared" si="70"/>
        <v>387.00000000000148</v>
      </c>
      <c r="I262" s="115">
        <f t="shared" si="71"/>
        <v>1935.0000000000073</v>
      </c>
      <c r="J262" s="115">
        <f t="shared" si="72"/>
        <v>11771.250000000045</v>
      </c>
      <c r="K262" s="115">
        <f t="shared" si="73"/>
        <v>92880.000000000349</v>
      </c>
      <c r="L262" s="6"/>
      <c r="M262" s="11">
        <f t="shared" si="74"/>
        <v>12.919896640826824</v>
      </c>
    </row>
    <row r="263" spans="1:13">
      <c r="A263" s="115">
        <f t="shared" si="64"/>
        <v>25.900000000000098</v>
      </c>
      <c r="B263" s="11">
        <f t="shared" si="65"/>
        <v>5.6306306306306082</v>
      </c>
      <c r="C263" s="13">
        <f t="shared" si="66"/>
        <v>28.153153153153042</v>
      </c>
      <c r="D263" s="11">
        <f t="shared" si="67"/>
        <v>112.61261261261217</v>
      </c>
      <c r="E263" s="11">
        <f t="shared" si="68"/>
        <v>1351.351351351346</v>
      </c>
      <c r="F263" s="14">
        <f t="shared" si="69"/>
        <v>0.37537537537537385</v>
      </c>
      <c r="G263" s="6"/>
      <c r="H263" s="115">
        <f t="shared" si="70"/>
        <v>388.50000000000148</v>
      </c>
      <c r="I263" s="115">
        <f t="shared" si="71"/>
        <v>1942.5000000000073</v>
      </c>
      <c r="J263" s="115">
        <f t="shared" si="72"/>
        <v>11816.875000000045</v>
      </c>
      <c r="K263" s="115">
        <f t="shared" si="73"/>
        <v>93240.000000000349</v>
      </c>
      <c r="L263" s="6"/>
      <c r="M263" s="11">
        <f t="shared" si="74"/>
        <v>12.870012870012822</v>
      </c>
    </row>
    <row r="264" spans="1:13">
      <c r="A264" s="115">
        <f t="shared" si="64"/>
        <v>26.000000000000099</v>
      </c>
      <c r="B264" s="11">
        <f t="shared" si="65"/>
        <v>5.6089743589743364</v>
      </c>
      <c r="C264" s="13">
        <f t="shared" si="66"/>
        <v>28.044871794871682</v>
      </c>
      <c r="D264" s="11">
        <f t="shared" si="67"/>
        <v>112.17948717948673</v>
      </c>
      <c r="E264" s="11">
        <f t="shared" si="68"/>
        <v>1346.1538461538407</v>
      </c>
      <c r="F264" s="14">
        <f t="shared" si="69"/>
        <v>0.37393162393162244</v>
      </c>
      <c r="G264" s="6"/>
      <c r="H264" s="115">
        <f t="shared" si="70"/>
        <v>390.00000000000148</v>
      </c>
      <c r="I264" s="115">
        <f t="shared" si="71"/>
        <v>1950.0000000000073</v>
      </c>
      <c r="J264" s="115">
        <f t="shared" si="72"/>
        <v>11862.500000000045</v>
      </c>
      <c r="K264" s="115">
        <f t="shared" si="73"/>
        <v>93600.000000000349</v>
      </c>
      <c r="L264" s="6"/>
      <c r="M264" s="11">
        <f t="shared" si="74"/>
        <v>12.820512820512771</v>
      </c>
    </row>
    <row r="265" spans="1:13">
      <c r="A265" s="115">
        <f t="shared" si="64"/>
        <v>26.100000000000101</v>
      </c>
      <c r="B265" s="11">
        <f t="shared" si="65"/>
        <v>5.5874840357598758</v>
      </c>
      <c r="C265" s="13">
        <f t="shared" si="66"/>
        <v>27.937420178799378</v>
      </c>
      <c r="D265" s="11">
        <f t="shared" si="67"/>
        <v>111.7496807151975</v>
      </c>
      <c r="E265" s="11">
        <f t="shared" si="68"/>
        <v>1340.99616858237</v>
      </c>
      <c r="F265" s="14">
        <f t="shared" si="69"/>
        <v>0.37249893571732506</v>
      </c>
      <c r="G265" s="6"/>
      <c r="H265" s="115">
        <f t="shared" si="70"/>
        <v>391.50000000000153</v>
      </c>
      <c r="I265" s="115">
        <f t="shared" si="71"/>
        <v>1957.5000000000077</v>
      </c>
      <c r="J265" s="115">
        <f t="shared" si="72"/>
        <v>11908.125000000045</v>
      </c>
      <c r="K265" s="115">
        <f t="shared" si="73"/>
        <v>93960.000000000378</v>
      </c>
      <c r="L265" s="6"/>
      <c r="M265" s="11">
        <f t="shared" si="74"/>
        <v>12.77139208173686</v>
      </c>
    </row>
    <row r="266" spans="1:13">
      <c r="A266" s="115">
        <f t="shared" si="64"/>
        <v>26.200000000000102</v>
      </c>
      <c r="B266" s="11">
        <f t="shared" si="65"/>
        <v>5.5661577608142272</v>
      </c>
      <c r="C266" s="13">
        <f t="shared" si="66"/>
        <v>27.830788804071137</v>
      </c>
      <c r="D266" s="11">
        <f t="shared" si="67"/>
        <v>111.32315521628455</v>
      </c>
      <c r="E266" s="11">
        <f t="shared" si="68"/>
        <v>1335.8778625954146</v>
      </c>
      <c r="F266" s="14">
        <f t="shared" si="69"/>
        <v>0.37107718405428181</v>
      </c>
      <c r="G266" s="6"/>
      <c r="H266" s="115">
        <f t="shared" si="70"/>
        <v>393.00000000000153</v>
      </c>
      <c r="I266" s="115">
        <f t="shared" si="71"/>
        <v>1965.0000000000077</v>
      </c>
      <c r="J266" s="115">
        <f t="shared" si="72"/>
        <v>11953.750000000045</v>
      </c>
      <c r="K266" s="115">
        <f t="shared" si="73"/>
        <v>94320.000000000378</v>
      </c>
      <c r="L266" s="6"/>
      <c r="M266" s="11">
        <f t="shared" si="74"/>
        <v>12.72264631043252</v>
      </c>
    </row>
    <row r="267" spans="1:13">
      <c r="A267" s="115">
        <f t="shared" si="64"/>
        <v>26.300000000000104</v>
      </c>
      <c r="B267" s="11">
        <f t="shared" si="65"/>
        <v>5.5449936628643623</v>
      </c>
      <c r="C267" s="13">
        <f t="shared" si="66"/>
        <v>27.724968314321814</v>
      </c>
      <c r="D267" s="11">
        <f t="shared" si="67"/>
        <v>110.89987325728725</v>
      </c>
      <c r="E267" s="11">
        <f t="shared" si="68"/>
        <v>1330.798479087447</v>
      </c>
      <c r="F267" s="14">
        <f t="shared" si="69"/>
        <v>0.3696662441909575</v>
      </c>
      <c r="G267" s="6"/>
      <c r="H267" s="115">
        <f t="shared" si="70"/>
        <v>394.50000000000153</v>
      </c>
      <c r="I267" s="115">
        <f t="shared" si="71"/>
        <v>1972.5000000000077</v>
      </c>
      <c r="J267" s="115">
        <f t="shared" si="72"/>
        <v>11999.375000000045</v>
      </c>
      <c r="K267" s="115">
        <f t="shared" si="73"/>
        <v>94680.000000000378</v>
      </c>
      <c r="L267" s="6"/>
      <c r="M267" s="11">
        <f t="shared" si="74"/>
        <v>12.67427122940426</v>
      </c>
    </row>
    <row r="268" spans="1:13">
      <c r="A268" s="115">
        <f t="shared" si="64"/>
        <v>26.400000000000105</v>
      </c>
      <c r="B268" s="11">
        <f t="shared" si="65"/>
        <v>5.5239898989898766</v>
      </c>
      <c r="C268" s="13">
        <f t="shared" si="66"/>
        <v>27.619949494949381</v>
      </c>
      <c r="D268" s="11">
        <f t="shared" si="67"/>
        <v>110.47979797979752</v>
      </c>
      <c r="E268" s="11">
        <f t="shared" si="68"/>
        <v>1325.7575757575703</v>
      </c>
      <c r="F268" s="14">
        <f t="shared" si="69"/>
        <v>0.3682659932659918</v>
      </c>
      <c r="G268" s="6"/>
      <c r="H268" s="115">
        <f t="shared" si="70"/>
        <v>396.00000000000159</v>
      </c>
      <c r="I268" s="115">
        <f t="shared" si="71"/>
        <v>1980.000000000008</v>
      </c>
      <c r="J268" s="115">
        <f t="shared" si="72"/>
        <v>12045.000000000049</v>
      </c>
      <c r="K268" s="115">
        <f t="shared" si="73"/>
        <v>95040.000000000378</v>
      </c>
      <c r="L268" s="6"/>
      <c r="M268" s="11">
        <f t="shared" si="74"/>
        <v>12.626262626262575</v>
      </c>
    </row>
    <row r="269" spans="1:13">
      <c r="A269" s="115">
        <f t="shared" si="64"/>
        <v>26.500000000000107</v>
      </c>
      <c r="B269" s="11">
        <f t="shared" si="65"/>
        <v>5.5031446540880271</v>
      </c>
      <c r="C269" s="13">
        <f t="shared" si="66"/>
        <v>27.515723270440134</v>
      </c>
      <c r="D269" s="11">
        <f t="shared" si="67"/>
        <v>110.06289308176054</v>
      </c>
      <c r="E269" s="11">
        <f t="shared" si="68"/>
        <v>1320.7547169811264</v>
      </c>
      <c r="F269" s="14">
        <f t="shared" si="69"/>
        <v>0.36687631027253514</v>
      </c>
      <c r="G269" s="6"/>
      <c r="H269" s="115">
        <f t="shared" si="70"/>
        <v>397.50000000000159</v>
      </c>
      <c r="I269" s="115">
        <f t="shared" si="71"/>
        <v>1987.500000000008</v>
      </c>
      <c r="J269" s="115">
        <f t="shared" si="72"/>
        <v>12090.625000000049</v>
      </c>
      <c r="K269" s="115">
        <f t="shared" si="73"/>
        <v>95400.000000000378</v>
      </c>
      <c r="L269" s="6"/>
      <c r="M269" s="11">
        <f t="shared" si="74"/>
        <v>12.578616352201207</v>
      </c>
    </row>
    <row r="270" spans="1:13">
      <c r="A270" s="115">
        <f t="shared" si="64"/>
        <v>26.600000000000108</v>
      </c>
      <c r="B270" s="11">
        <f t="shared" si="65"/>
        <v>5.4824561403508545</v>
      </c>
      <c r="C270" s="13">
        <f t="shared" si="66"/>
        <v>27.412280701754273</v>
      </c>
      <c r="D270" s="11">
        <f t="shared" si="67"/>
        <v>109.64912280701709</v>
      </c>
      <c r="E270" s="11">
        <f t="shared" si="68"/>
        <v>1315.7894736842052</v>
      </c>
      <c r="F270" s="14">
        <f t="shared" si="69"/>
        <v>0.36549707602339032</v>
      </c>
      <c r="G270" s="6"/>
      <c r="H270" s="115">
        <f t="shared" si="70"/>
        <v>399.00000000000159</v>
      </c>
      <c r="I270" s="115">
        <f t="shared" si="71"/>
        <v>1995.000000000008</v>
      </c>
      <c r="J270" s="115">
        <f t="shared" si="72"/>
        <v>12136.250000000049</v>
      </c>
      <c r="K270" s="115">
        <f t="shared" si="73"/>
        <v>95760.000000000378</v>
      </c>
      <c r="L270" s="6"/>
      <c r="M270" s="11">
        <f t="shared" si="74"/>
        <v>12.531328320801956</v>
      </c>
    </row>
    <row r="271" spans="1:13">
      <c r="A271" s="115">
        <f t="shared" si="64"/>
        <v>26.700000000000109</v>
      </c>
      <c r="B271" s="11">
        <f t="shared" si="65"/>
        <v>5.4619225967540341</v>
      </c>
      <c r="C271" s="13">
        <f t="shared" si="66"/>
        <v>27.309612983770172</v>
      </c>
      <c r="D271" s="11">
        <f t="shared" si="67"/>
        <v>109.2384519350807</v>
      </c>
      <c r="E271" s="11">
        <f t="shared" si="68"/>
        <v>1310.8614232209684</v>
      </c>
      <c r="F271" s="14">
        <f t="shared" si="69"/>
        <v>0.36412817311693563</v>
      </c>
      <c r="G271" s="6"/>
      <c r="H271" s="115">
        <f t="shared" si="70"/>
        <v>400.50000000000165</v>
      </c>
      <c r="I271" s="115">
        <f t="shared" si="71"/>
        <v>2002.5000000000082</v>
      </c>
      <c r="J271" s="115">
        <f t="shared" si="72"/>
        <v>12181.875000000051</v>
      </c>
      <c r="K271" s="115">
        <f t="shared" si="73"/>
        <v>96120.000000000393</v>
      </c>
      <c r="L271" s="6"/>
      <c r="M271" s="11">
        <f t="shared" si="74"/>
        <v>12.484394506866366</v>
      </c>
    </row>
    <row r="272" spans="1:13">
      <c r="A272" s="115">
        <f t="shared" si="64"/>
        <v>26.800000000000111</v>
      </c>
      <c r="B272" s="11">
        <f t="shared" si="65"/>
        <v>5.4415422885571907</v>
      </c>
      <c r="C272" s="13">
        <f t="shared" si="66"/>
        <v>27.207711442785953</v>
      </c>
      <c r="D272" s="11">
        <f t="shared" si="67"/>
        <v>108.83084577114381</v>
      </c>
      <c r="E272" s="11">
        <f t="shared" si="68"/>
        <v>1305.9701492537258</v>
      </c>
      <c r="F272" s="14">
        <f t="shared" si="69"/>
        <v>0.36276948590381269</v>
      </c>
      <c r="G272" s="6"/>
      <c r="H272" s="115">
        <f t="shared" si="70"/>
        <v>402.00000000000165</v>
      </c>
      <c r="I272" s="115">
        <f t="shared" si="71"/>
        <v>2010.0000000000082</v>
      </c>
      <c r="J272" s="115">
        <f t="shared" si="72"/>
        <v>12227.500000000051</v>
      </c>
      <c r="K272" s="115">
        <f t="shared" si="73"/>
        <v>96480.000000000393</v>
      </c>
      <c r="L272" s="6"/>
      <c r="M272" s="11">
        <f t="shared" si="74"/>
        <v>12.437810945273581</v>
      </c>
    </row>
    <row r="273" spans="1:13">
      <c r="A273" s="115">
        <f t="shared" si="64"/>
        <v>26.900000000000112</v>
      </c>
      <c r="B273" s="11">
        <f t="shared" si="65"/>
        <v>5.4213135068153422</v>
      </c>
      <c r="C273" s="13">
        <f t="shared" si="66"/>
        <v>27.10656753407671</v>
      </c>
      <c r="D273" s="11">
        <f t="shared" si="67"/>
        <v>108.42627013630685</v>
      </c>
      <c r="E273" s="11">
        <f t="shared" si="68"/>
        <v>1301.1152416356822</v>
      </c>
      <c r="F273" s="14">
        <f t="shared" si="69"/>
        <v>0.36142090045435615</v>
      </c>
      <c r="G273" s="6"/>
      <c r="H273" s="115">
        <f t="shared" si="70"/>
        <v>403.50000000000171</v>
      </c>
      <c r="I273" s="115">
        <f t="shared" si="71"/>
        <v>2017.5000000000086</v>
      </c>
      <c r="J273" s="115">
        <f t="shared" si="72"/>
        <v>12273.125000000051</v>
      </c>
      <c r="K273" s="115">
        <f t="shared" si="73"/>
        <v>96840.000000000407</v>
      </c>
      <c r="L273" s="6"/>
      <c r="M273" s="11">
        <f t="shared" si="74"/>
        <v>12.391573729863641</v>
      </c>
    </row>
    <row r="274" spans="1:13">
      <c r="A274" s="115">
        <f t="shared" si="64"/>
        <v>27.000000000000114</v>
      </c>
      <c r="B274" s="11">
        <f t="shared" si="65"/>
        <v>5.401234567901211</v>
      </c>
      <c r="C274" s="13">
        <f t="shared" si="66"/>
        <v>27.006172839506057</v>
      </c>
      <c r="D274" s="11">
        <f t="shared" si="67"/>
        <v>108.02469135802421</v>
      </c>
      <c r="E274" s="11">
        <f t="shared" si="68"/>
        <v>1296.2962962962906</v>
      </c>
      <c r="F274" s="14">
        <f t="shared" si="69"/>
        <v>0.36008230452674739</v>
      </c>
      <c r="G274" s="6"/>
      <c r="H274" s="115">
        <f t="shared" si="70"/>
        <v>405.00000000000171</v>
      </c>
      <c r="I274" s="115">
        <f t="shared" si="71"/>
        <v>2025.0000000000086</v>
      </c>
      <c r="J274" s="115">
        <f t="shared" si="72"/>
        <v>12318.750000000051</v>
      </c>
      <c r="K274" s="115">
        <f t="shared" si="73"/>
        <v>97200.000000000407</v>
      </c>
      <c r="L274" s="6"/>
      <c r="M274" s="11">
        <f t="shared" si="74"/>
        <v>12.345679012345627</v>
      </c>
    </row>
    <row r="275" spans="1:13">
      <c r="A275" s="115">
        <f t="shared" si="64"/>
        <v>27.100000000000115</v>
      </c>
      <c r="B275" s="11">
        <f t="shared" si="65"/>
        <v>5.381303813038107</v>
      </c>
      <c r="C275" s="13">
        <f t="shared" si="66"/>
        <v>26.906519065190537</v>
      </c>
      <c r="D275" s="11">
        <f t="shared" si="67"/>
        <v>107.62607626076215</v>
      </c>
      <c r="E275" s="11">
        <f t="shared" si="68"/>
        <v>1291.5129151291458</v>
      </c>
      <c r="F275" s="14">
        <f t="shared" si="69"/>
        <v>0.35875358753587377</v>
      </c>
      <c r="G275" s="6"/>
      <c r="H275" s="115">
        <f t="shared" si="70"/>
        <v>406.50000000000171</v>
      </c>
      <c r="I275" s="115">
        <f t="shared" si="71"/>
        <v>2032.5000000000086</v>
      </c>
      <c r="J275" s="115">
        <f t="shared" si="72"/>
        <v>12364.375000000051</v>
      </c>
      <c r="K275" s="115">
        <f t="shared" si="73"/>
        <v>97560.000000000407</v>
      </c>
      <c r="L275" s="6"/>
      <c r="M275" s="11">
        <f t="shared" si="74"/>
        <v>12.300123001229961</v>
      </c>
    </row>
    <row r="276" spans="1:13">
      <c r="A276" s="115">
        <f t="shared" si="64"/>
        <v>27.200000000000117</v>
      </c>
      <c r="B276" s="11">
        <f t="shared" si="65"/>
        <v>5.361519607843114</v>
      </c>
      <c r="C276" s="13">
        <f t="shared" si="66"/>
        <v>26.80759803921557</v>
      </c>
      <c r="D276" s="11">
        <f t="shared" si="67"/>
        <v>107.23039215686227</v>
      </c>
      <c r="E276" s="11">
        <f t="shared" si="68"/>
        <v>1286.7647058823472</v>
      </c>
      <c r="F276" s="14">
        <f t="shared" si="69"/>
        <v>0.35743464052287427</v>
      </c>
      <c r="G276" s="6"/>
      <c r="H276" s="115">
        <f t="shared" si="70"/>
        <v>408.00000000000176</v>
      </c>
      <c r="I276" s="115">
        <f t="shared" si="71"/>
        <v>2040.0000000000089</v>
      </c>
      <c r="J276" s="115">
        <f t="shared" si="72"/>
        <v>12410.000000000053</v>
      </c>
      <c r="K276" s="115">
        <f t="shared" si="73"/>
        <v>97920.000000000422</v>
      </c>
      <c r="L276" s="6"/>
      <c r="M276" s="11">
        <f t="shared" si="74"/>
        <v>12.254901960784261</v>
      </c>
    </row>
    <row r="277" spans="1:13">
      <c r="A277" s="115">
        <f t="shared" si="64"/>
        <v>27.300000000000118</v>
      </c>
      <c r="B277" s="11">
        <f t="shared" si="65"/>
        <v>5.3418803418803185</v>
      </c>
      <c r="C277" s="13">
        <f t="shared" si="66"/>
        <v>26.709401709401593</v>
      </c>
      <c r="D277" s="11">
        <f t="shared" si="67"/>
        <v>106.83760683760637</v>
      </c>
      <c r="E277" s="11">
        <f t="shared" si="68"/>
        <v>1282.0512820512765</v>
      </c>
      <c r="F277" s="14">
        <f t="shared" si="69"/>
        <v>0.35612535612535456</v>
      </c>
      <c r="G277" s="6"/>
      <c r="H277" s="115">
        <f t="shared" si="70"/>
        <v>409.50000000000176</v>
      </c>
      <c r="I277" s="115">
        <f t="shared" si="71"/>
        <v>2047.5000000000089</v>
      </c>
      <c r="J277" s="115">
        <f t="shared" si="72"/>
        <v>12455.625000000053</v>
      </c>
      <c r="K277" s="115">
        <f t="shared" si="73"/>
        <v>98280.000000000422</v>
      </c>
      <c r="L277" s="6"/>
      <c r="M277" s="11">
        <f t="shared" si="74"/>
        <v>12.210012210012158</v>
      </c>
    </row>
    <row r="278" spans="1:13">
      <c r="A278" s="115">
        <f t="shared" si="64"/>
        <v>27.400000000000119</v>
      </c>
      <c r="B278" s="11">
        <f t="shared" si="65"/>
        <v>5.3223844282238204</v>
      </c>
      <c r="C278" s="13">
        <f t="shared" si="66"/>
        <v>26.611922141119102</v>
      </c>
      <c r="D278" s="11">
        <f t="shared" si="67"/>
        <v>106.44768856447642</v>
      </c>
      <c r="E278" s="11">
        <f t="shared" si="68"/>
        <v>1277.372262773717</v>
      </c>
      <c r="F278" s="14">
        <f t="shared" si="69"/>
        <v>0.35482562854825467</v>
      </c>
      <c r="G278" s="6"/>
      <c r="H278" s="115">
        <f t="shared" si="70"/>
        <v>411.00000000000182</v>
      </c>
      <c r="I278" s="115">
        <f t="shared" si="71"/>
        <v>2055.0000000000091</v>
      </c>
      <c r="J278" s="115">
        <f t="shared" si="72"/>
        <v>12501.250000000056</v>
      </c>
      <c r="K278" s="115">
        <f t="shared" si="73"/>
        <v>98640.000000000437</v>
      </c>
      <c r="L278" s="6"/>
      <c r="M278" s="11">
        <f t="shared" si="74"/>
        <v>12.165450121654448</v>
      </c>
    </row>
    <row r="279" spans="1:13">
      <c r="A279" s="115">
        <f t="shared" si="64"/>
        <v>27.500000000000121</v>
      </c>
      <c r="B279" s="11">
        <f t="shared" si="65"/>
        <v>5.3030303030302788</v>
      </c>
      <c r="C279" s="13">
        <f t="shared" si="66"/>
        <v>26.515151515151395</v>
      </c>
      <c r="D279" s="11">
        <f t="shared" si="67"/>
        <v>106.06060606060559</v>
      </c>
      <c r="E279" s="11">
        <f t="shared" si="68"/>
        <v>1272.7272727272671</v>
      </c>
      <c r="F279" s="14">
        <f t="shared" si="69"/>
        <v>0.35353535353535193</v>
      </c>
      <c r="G279" s="6"/>
      <c r="H279" s="115">
        <f t="shared" si="70"/>
        <v>412.50000000000182</v>
      </c>
      <c r="I279" s="115">
        <f t="shared" si="71"/>
        <v>2062.5000000000091</v>
      </c>
      <c r="J279" s="115">
        <f t="shared" si="72"/>
        <v>12546.875000000056</v>
      </c>
      <c r="K279" s="115">
        <f t="shared" si="73"/>
        <v>99000.000000000437</v>
      </c>
      <c r="L279" s="6"/>
      <c r="M279" s="11">
        <f t="shared" si="74"/>
        <v>12.121212121212068</v>
      </c>
    </row>
    <row r="280" spans="1:13">
      <c r="A280" s="115">
        <f t="shared" si="64"/>
        <v>27.600000000000122</v>
      </c>
      <c r="B280" s="11">
        <f t="shared" si="65"/>
        <v>5.2838164251207491</v>
      </c>
      <c r="C280" s="13">
        <f t="shared" si="66"/>
        <v>26.419082125603744</v>
      </c>
      <c r="D280" s="11">
        <f t="shared" si="67"/>
        <v>105.67632850241496</v>
      </c>
      <c r="E280" s="11">
        <f t="shared" si="68"/>
        <v>1268.1159420289796</v>
      </c>
      <c r="F280" s="14">
        <f t="shared" si="69"/>
        <v>0.35225442834138326</v>
      </c>
      <c r="G280" s="6"/>
      <c r="H280" s="115">
        <f t="shared" si="70"/>
        <v>414.00000000000182</v>
      </c>
      <c r="I280" s="115">
        <f t="shared" si="71"/>
        <v>2070.0000000000091</v>
      </c>
      <c r="J280" s="115">
        <f t="shared" si="72"/>
        <v>12592.500000000056</v>
      </c>
      <c r="K280" s="115">
        <f t="shared" si="73"/>
        <v>99360.000000000437</v>
      </c>
      <c r="L280" s="6"/>
      <c r="M280" s="11">
        <f t="shared" si="74"/>
        <v>12.077294685990285</v>
      </c>
    </row>
    <row r="281" spans="1:13">
      <c r="A281" s="115">
        <f t="shared" si="64"/>
        <v>27.700000000000124</v>
      </c>
      <c r="B281" s="11">
        <f t="shared" si="65"/>
        <v>5.2647412755715761</v>
      </c>
      <c r="C281" s="13">
        <f t="shared" si="66"/>
        <v>26.323706377857881</v>
      </c>
      <c r="D281" s="11">
        <f t="shared" si="67"/>
        <v>105.29482551143151</v>
      </c>
      <c r="E281" s="11">
        <f t="shared" si="68"/>
        <v>1263.5379061371782</v>
      </c>
      <c r="F281" s="14">
        <f t="shared" si="69"/>
        <v>0.35098275170477172</v>
      </c>
      <c r="G281" s="6"/>
      <c r="H281" s="115">
        <f t="shared" si="70"/>
        <v>415.50000000000188</v>
      </c>
      <c r="I281" s="115">
        <f t="shared" si="71"/>
        <v>2077.5000000000095</v>
      </c>
      <c r="J281" s="115">
        <f t="shared" si="72"/>
        <v>12638.125000000058</v>
      </c>
      <c r="K281" s="115">
        <f t="shared" si="73"/>
        <v>99720.000000000466</v>
      </c>
      <c r="L281" s="6"/>
      <c r="M281" s="11">
        <f t="shared" si="74"/>
        <v>12.033694344163603</v>
      </c>
    </row>
    <row r="282" spans="1:13">
      <c r="A282" s="115">
        <f t="shared" si="64"/>
        <v>27.800000000000125</v>
      </c>
      <c r="B282" s="11">
        <f t="shared" si="65"/>
        <v>5.2458033573141245</v>
      </c>
      <c r="C282" s="13">
        <f t="shared" si="66"/>
        <v>26.229016786570622</v>
      </c>
      <c r="D282" s="11">
        <f t="shared" si="67"/>
        <v>104.91606714628249</v>
      </c>
      <c r="E282" s="11">
        <f t="shared" si="68"/>
        <v>1258.9928057553898</v>
      </c>
      <c r="F282" s="14">
        <f t="shared" si="69"/>
        <v>0.34972022382094164</v>
      </c>
      <c r="G282" s="6"/>
      <c r="H282" s="115">
        <f t="shared" si="70"/>
        <v>417.00000000000188</v>
      </c>
      <c r="I282" s="115">
        <f t="shared" si="71"/>
        <v>2085.0000000000095</v>
      </c>
      <c r="J282" s="115">
        <f t="shared" si="72"/>
        <v>12683.750000000058</v>
      </c>
      <c r="K282" s="115">
        <f t="shared" si="73"/>
        <v>100080.00000000047</v>
      </c>
      <c r="L282" s="6"/>
      <c r="M282" s="11">
        <f t="shared" si="74"/>
        <v>11.990407673860858</v>
      </c>
    </row>
    <row r="283" spans="1:13">
      <c r="A283" s="115">
        <f t="shared" si="64"/>
        <v>27.900000000000126</v>
      </c>
      <c r="B283" s="11">
        <f t="shared" si="65"/>
        <v>5.2270011947431056</v>
      </c>
      <c r="C283" s="13">
        <f t="shared" si="66"/>
        <v>26.135005973715529</v>
      </c>
      <c r="D283" s="11">
        <f t="shared" si="67"/>
        <v>104.54002389486213</v>
      </c>
      <c r="E283" s="11">
        <f t="shared" si="68"/>
        <v>1254.4802867383455</v>
      </c>
      <c r="F283" s="14">
        <f t="shared" si="69"/>
        <v>0.34846674631620705</v>
      </c>
      <c r="G283" s="6"/>
      <c r="H283" s="115">
        <f t="shared" si="70"/>
        <v>418.50000000000188</v>
      </c>
      <c r="I283" s="115">
        <f t="shared" si="71"/>
        <v>2092.5000000000095</v>
      </c>
      <c r="J283" s="115">
        <f t="shared" si="72"/>
        <v>12729.375000000058</v>
      </c>
      <c r="K283" s="115">
        <f t="shared" si="73"/>
        <v>100440.00000000047</v>
      </c>
      <c r="L283" s="6"/>
      <c r="M283" s="11">
        <f t="shared" si="74"/>
        <v>11.947431302269958</v>
      </c>
    </row>
    <row r="284" spans="1:13">
      <c r="A284" s="115">
        <f t="shared" si="64"/>
        <v>28.000000000000128</v>
      </c>
      <c r="B284" s="11">
        <f t="shared" si="65"/>
        <v>5.2083333333333091</v>
      </c>
      <c r="C284" s="13">
        <f t="shared" si="66"/>
        <v>26.041666666666544</v>
      </c>
      <c r="D284" s="11">
        <f t="shared" si="67"/>
        <v>104.16666666666617</v>
      </c>
      <c r="E284" s="11">
        <f t="shared" si="68"/>
        <v>1249.9999999999941</v>
      </c>
      <c r="F284" s="14">
        <f t="shared" si="69"/>
        <v>0.3472222222222206</v>
      </c>
      <c r="G284" s="6"/>
      <c r="H284" s="115">
        <f t="shared" si="70"/>
        <v>420.00000000000193</v>
      </c>
      <c r="I284" s="115">
        <f t="shared" si="71"/>
        <v>2100.0000000000095</v>
      </c>
      <c r="J284" s="115">
        <f t="shared" si="72"/>
        <v>12775.000000000058</v>
      </c>
      <c r="K284" s="115">
        <f t="shared" si="73"/>
        <v>100800.00000000047</v>
      </c>
      <c r="L284" s="6"/>
      <c r="M284" s="11">
        <f t="shared" si="74"/>
        <v>11.90476190476185</v>
      </c>
    </row>
    <row r="285" spans="1:13">
      <c r="A285" s="115">
        <f t="shared" si="64"/>
        <v>28.100000000000129</v>
      </c>
      <c r="B285" s="11">
        <f t="shared" si="65"/>
        <v>5.1897983392645068</v>
      </c>
      <c r="C285" s="13">
        <f t="shared" si="66"/>
        <v>25.948991696322533</v>
      </c>
      <c r="D285" s="11">
        <f t="shared" si="67"/>
        <v>103.79596678529013</v>
      </c>
      <c r="E285" s="11">
        <f t="shared" si="68"/>
        <v>1245.5516014234815</v>
      </c>
      <c r="F285" s="14">
        <f t="shared" si="69"/>
        <v>0.34598655595096711</v>
      </c>
      <c r="G285" s="6"/>
      <c r="H285" s="115">
        <f t="shared" si="70"/>
        <v>421.50000000000193</v>
      </c>
      <c r="I285" s="115">
        <f t="shared" si="71"/>
        <v>2107.5000000000095</v>
      </c>
      <c r="J285" s="115">
        <f t="shared" si="72"/>
        <v>12820.625000000058</v>
      </c>
      <c r="K285" s="115">
        <f t="shared" si="73"/>
        <v>101160.00000000047</v>
      </c>
      <c r="L285" s="6"/>
      <c r="M285" s="11">
        <f t="shared" si="74"/>
        <v>11.862396204033161</v>
      </c>
    </row>
    <row r="286" spans="1:13">
      <c r="A286" s="115">
        <f t="shared" si="64"/>
        <v>28.200000000000131</v>
      </c>
      <c r="B286" s="11">
        <f t="shared" si="65"/>
        <v>5.1713947990543492</v>
      </c>
      <c r="C286" s="13">
        <f t="shared" si="66"/>
        <v>25.856973995271744</v>
      </c>
      <c r="D286" s="11">
        <f t="shared" si="67"/>
        <v>103.42789598108698</v>
      </c>
      <c r="E286" s="11">
        <f t="shared" si="68"/>
        <v>1241.1347517730437</v>
      </c>
      <c r="F286" s="14">
        <f t="shared" si="69"/>
        <v>0.34475965327028996</v>
      </c>
      <c r="G286" s="6"/>
      <c r="H286" s="115">
        <f t="shared" si="70"/>
        <v>423.00000000000193</v>
      </c>
      <c r="I286" s="115">
        <f t="shared" si="71"/>
        <v>2115.0000000000095</v>
      </c>
      <c r="J286" s="115">
        <f t="shared" si="72"/>
        <v>12866.250000000058</v>
      </c>
      <c r="K286" s="115">
        <f t="shared" si="73"/>
        <v>101520.00000000047</v>
      </c>
      <c r="L286" s="6"/>
      <c r="M286" s="11">
        <f t="shared" si="74"/>
        <v>11.820330969267085</v>
      </c>
    </row>
    <row r="287" spans="1:13">
      <c r="A287" s="115">
        <f t="shared" si="64"/>
        <v>28.300000000000132</v>
      </c>
      <c r="B287" s="11">
        <f t="shared" si="65"/>
        <v>5.153121319199033</v>
      </c>
      <c r="C287" s="13">
        <f t="shared" si="66"/>
        <v>25.765606595995166</v>
      </c>
      <c r="D287" s="11">
        <f t="shared" si="67"/>
        <v>103.06242638398066</v>
      </c>
      <c r="E287" s="11">
        <f t="shared" si="68"/>
        <v>1236.749116607768</v>
      </c>
      <c r="F287" s="14">
        <f t="shared" si="69"/>
        <v>0.34354142127993553</v>
      </c>
      <c r="G287" s="6"/>
      <c r="H287" s="115">
        <f t="shared" si="70"/>
        <v>424.50000000000199</v>
      </c>
      <c r="I287" s="115">
        <f t="shared" si="71"/>
        <v>2122.50000000001</v>
      </c>
      <c r="J287" s="115">
        <f t="shared" si="72"/>
        <v>12911.87500000006</v>
      </c>
      <c r="K287" s="115">
        <f t="shared" si="73"/>
        <v>101880.00000000048</v>
      </c>
      <c r="L287" s="6"/>
      <c r="M287" s="11">
        <f t="shared" si="74"/>
        <v>11.778563015312077</v>
      </c>
    </row>
    <row r="288" spans="1:13">
      <c r="A288" s="115">
        <f t="shared" si="64"/>
        <v>28.400000000000134</v>
      </c>
      <c r="B288" s="11">
        <f t="shared" si="65"/>
        <v>5.1349765258215712</v>
      </c>
      <c r="C288" s="13">
        <f t="shared" si="66"/>
        <v>25.674882629107856</v>
      </c>
      <c r="D288" s="11">
        <f t="shared" si="67"/>
        <v>102.69953051643142</v>
      </c>
      <c r="E288" s="11">
        <f t="shared" si="68"/>
        <v>1232.3943661971771</v>
      </c>
      <c r="F288" s="14">
        <f t="shared" si="69"/>
        <v>0.34233176838810475</v>
      </c>
      <c r="G288" s="6"/>
      <c r="H288" s="115">
        <f t="shared" si="70"/>
        <v>426.00000000000199</v>
      </c>
      <c r="I288" s="115">
        <f t="shared" si="71"/>
        <v>2130.00000000001</v>
      </c>
      <c r="J288" s="115">
        <f t="shared" si="72"/>
        <v>12957.50000000006</v>
      </c>
      <c r="K288" s="115">
        <f t="shared" si="73"/>
        <v>102240.00000000048</v>
      </c>
      <c r="L288" s="6"/>
      <c r="M288" s="11">
        <f t="shared" si="74"/>
        <v>11.737089201877879</v>
      </c>
    </row>
    <row r="289" spans="1:13">
      <c r="A289" s="115">
        <f t="shared" si="64"/>
        <v>28.500000000000135</v>
      </c>
      <c r="B289" s="11">
        <f t="shared" si="65"/>
        <v>5.1169590643274603</v>
      </c>
      <c r="C289" s="13">
        <f t="shared" si="66"/>
        <v>25.584795321637301</v>
      </c>
      <c r="D289" s="11">
        <f t="shared" si="67"/>
        <v>102.33918128654921</v>
      </c>
      <c r="E289" s="11">
        <f t="shared" si="68"/>
        <v>1228.0701754385905</v>
      </c>
      <c r="F289" s="14">
        <f t="shared" si="69"/>
        <v>0.34113060428849734</v>
      </c>
      <c r="G289" s="6"/>
      <c r="H289" s="115">
        <f t="shared" si="70"/>
        <v>427.50000000000205</v>
      </c>
      <c r="I289" s="115">
        <f t="shared" si="71"/>
        <v>2137.50000000001</v>
      </c>
      <c r="J289" s="115">
        <f t="shared" si="72"/>
        <v>13003.125000000064</v>
      </c>
      <c r="K289" s="115">
        <f t="shared" si="73"/>
        <v>102600.00000000048</v>
      </c>
      <c r="L289" s="6"/>
      <c r="M289" s="11">
        <f t="shared" si="74"/>
        <v>11.695906432748481</v>
      </c>
    </row>
    <row r="290" spans="1:13">
      <c r="A290" s="115">
        <f t="shared" si="64"/>
        <v>28.600000000000136</v>
      </c>
      <c r="B290" s="11">
        <f t="shared" si="65"/>
        <v>5.099067599067574</v>
      </c>
      <c r="C290" s="13">
        <f t="shared" si="66"/>
        <v>25.49533799533787</v>
      </c>
      <c r="D290" s="11">
        <f t="shared" si="67"/>
        <v>101.98135198135147</v>
      </c>
      <c r="E290" s="11">
        <f t="shared" si="68"/>
        <v>1223.7762237762176</v>
      </c>
      <c r="F290" s="14">
        <f t="shared" si="69"/>
        <v>0.33993783993783827</v>
      </c>
      <c r="G290" s="6"/>
      <c r="H290" s="115">
        <f t="shared" si="70"/>
        <v>429.00000000000205</v>
      </c>
      <c r="I290" s="115">
        <f t="shared" si="71"/>
        <v>2145.00000000001</v>
      </c>
      <c r="J290" s="115">
        <f t="shared" si="72"/>
        <v>13048.750000000064</v>
      </c>
      <c r="K290" s="115">
        <f t="shared" si="73"/>
        <v>102960.00000000048</v>
      </c>
      <c r="L290" s="6"/>
      <c r="M290" s="11">
        <f t="shared" si="74"/>
        <v>11.655011655011599</v>
      </c>
    </row>
    <row r="291" spans="1:13">
      <c r="A291" s="115">
        <f t="shared" si="64"/>
        <v>28.700000000000138</v>
      </c>
      <c r="B291" s="11">
        <f t="shared" si="65"/>
        <v>5.081300813008105</v>
      </c>
      <c r="C291" s="13">
        <f t="shared" si="66"/>
        <v>25.406504065040526</v>
      </c>
      <c r="D291" s="11">
        <f t="shared" si="67"/>
        <v>101.6260162601621</v>
      </c>
      <c r="E291" s="11">
        <f t="shared" si="68"/>
        <v>1219.5121951219453</v>
      </c>
      <c r="F291" s="14">
        <f t="shared" si="69"/>
        <v>0.33875338753387368</v>
      </c>
      <c r="G291" s="6"/>
      <c r="H291" s="115">
        <f t="shared" si="70"/>
        <v>430.50000000000205</v>
      </c>
      <c r="I291" s="115">
        <f t="shared" si="71"/>
        <v>2152.50000000001</v>
      </c>
      <c r="J291" s="115">
        <f t="shared" si="72"/>
        <v>13094.375000000064</v>
      </c>
      <c r="K291" s="115">
        <f t="shared" si="73"/>
        <v>103320.00000000048</v>
      </c>
      <c r="L291" s="6"/>
      <c r="M291" s="11">
        <f t="shared" si="74"/>
        <v>11.614401858304243</v>
      </c>
    </row>
    <row r="292" spans="1:13">
      <c r="A292" s="115">
        <f t="shared" si="64"/>
        <v>28.800000000000139</v>
      </c>
      <c r="B292" s="11">
        <f t="shared" si="65"/>
        <v>5.0636574074073826</v>
      </c>
      <c r="C292" s="13">
        <f t="shared" si="66"/>
        <v>25.318287037036914</v>
      </c>
      <c r="D292" s="11">
        <f t="shared" si="67"/>
        <v>101.27314814814765</v>
      </c>
      <c r="E292" s="11">
        <f t="shared" si="68"/>
        <v>1215.2777777777719</v>
      </c>
      <c r="F292" s="14">
        <f t="shared" si="69"/>
        <v>0.33757716049382552</v>
      </c>
      <c r="G292" s="6"/>
      <c r="H292" s="115">
        <f t="shared" si="70"/>
        <v>432.0000000000021</v>
      </c>
      <c r="I292" s="115">
        <f t="shared" si="71"/>
        <v>2160.0000000000105</v>
      </c>
      <c r="J292" s="115">
        <f t="shared" si="72"/>
        <v>13140.000000000064</v>
      </c>
      <c r="K292" s="115">
        <f t="shared" si="73"/>
        <v>103680.00000000049</v>
      </c>
      <c r="L292" s="6"/>
      <c r="M292" s="11">
        <f t="shared" si="74"/>
        <v>11.574074074074018</v>
      </c>
    </row>
    <row r="293" spans="1:13">
      <c r="A293" s="115">
        <f t="shared" si="64"/>
        <v>28.900000000000141</v>
      </c>
      <c r="B293" s="11">
        <f t="shared" si="65"/>
        <v>5.046136101499398</v>
      </c>
      <c r="C293" s="13">
        <f t="shared" si="66"/>
        <v>25.230680507496992</v>
      </c>
      <c r="D293" s="11">
        <f t="shared" si="67"/>
        <v>100.92272202998795</v>
      </c>
      <c r="E293" s="11">
        <f t="shared" si="68"/>
        <v>1211.0726643598555</v>
      </c>
      <c r="F293" s="14">
        <f t="shared" si="69"/>
        <v>0.33640907343329318</v>
      </c>
      <c r="G293" s="6"/>
      <c r="H293" s="115">
        <f t="shared" si="70"/>
        <v>433.5000000000021</v>
      </c>
      <c r="I293" s="115">
        <f t="shared" si="71"/>
        <v>2167.5000000000105</v>
      </c>
      <c r="J293" s="115">
        <f t="shared" si="72"/>
        <v>13185.625000000064</v>
      </c>
      <c r="K293" s="115">
        <f t="shared" si="73"/>
        <v>104040.00000000049</v>
      </c>
      <c r="L293" s="6"/>
      <c r="M293" s="11">
        <f t="shared" si="74"/>
        <v>11.534025374855769</v>
      </c>
    </row>
    <row r="294" spans="1:13">
      <c r="A294" s="115">
        <f t="shared" si="64"/>
        <v>29.000000000000142</v>
      </c>
      <c r="B294" s="11">
        <f t="shared" si="65"/>
        <v>5.0287356321838823</v>
      </c>
      <c r="C294" s="13">
        <f t="shared" si="66"/>
        <v>25.143678160919411</v>
      </c>
      <c r="D294" s="11">
        <f t="shared" si="67"/>
        <v>100.57471264367764</v>
      </c>
      <c r="E294" s="11">
        <f t="shared" si="68"/>
        <v>1206.8965517241318</v>
      </c>
      <c r="F294" s="14">
        <f t="shared" si="69"/>
        <v>0.33524904214559215</v>
      </c>
      <c r="G294" s="6"/>
      <c r="H294" s="115">
        <f t="shared" si="70"/>
        <v>435.00000000000216</v>
      </c>
      <c r="I294" s="115">
        <f t="shared" si="71"/>
        <v>2175.0000000000109</v>
      </c>
      <c r="J294" s="115">
        <f t="shared" si="72"/>
        <v>13231.250000000065</v>
      </c>
      <c r="K294" s="115">
        <f t="shared" si="73"/>
        <v>104400.00000000052</v>
      </c>
      <c r="L294" s="6"/>
      <c r="M294" s="11">
        <f t="shared" si="74"/>
        <v>11.494252873563161</v>
      </c>
    </row>
    <row r="295" spans="1:13">
      <c r="A295" s="115">
        <f t="shared" si="64"/>
        <v>29.100000000000144</v>
      </c>
      <c r="B295" s="11">
        <f t="shared" si="65"/>
        <v>5.0114547537227692</v>
      </c>
      <c r="C295" s="13">
        <f t="shared" si="66"/>
        <v>25.057273768613847</v>
      </c>
      <c r="D295" s="11">
        <f t="shared" si="67"/>
        <v>100.2290950744554</v>
      </c>
      <c r="E295" s="11">
        <f t="shared" si="68"/>
        <v>1202.7491408934648</v>
      </c>
      <c r="F295" s="14">
        <f t="shared" si="69"/>
        <v>0.33409698358151796</v>
      </c>
      <c r="G295" s="6"/>
      <c r="H295" s="115">
        <f t="shared" si="70"/>
        <v>436.50000000000216</v>
      </c>
      <c r="I295" s="115">
        <f t="shared" si="71"/>
        <v>2182.5000000000109</v>
      </c>
      <c r="J295" s="115">
        <f t="shared" si="72"/>
        <v>13276.875000000065</v>
      </c>
      <c r="K295" s="115">
        <f t="shared" si="73"/>
        <v>104760.00000000052</v>
      </c>
      <c r="L295" s="6"/>
      <c r="M295" s="11">
        <f t="shared" si="74"/>
        <v>11.454753722794903</v>
      </c>
    </row>
    <row r="296" spans="1:13">
      <c r="A296" s="115">
        <f t="shared" si="64"/>
        <v>29.200000000000145</v>
      </c>
      <c r="B296" s="11">
        <f t="shared" si="65"/>
        <v>4.9942922374428971</v>
      </c>
      <c r="C296" s="13">
        <f t="shared" si="66"/>
        <v>24.971461187214487</v>
      </c>
      <c r="D296" s="11">
        <f t="shared" si="67"/>
        <v>99.885844748857949</v>
      </c>
      <c r="E296" s="11">
        <f t="shared" si="68"/>
        <v>1198.6301369862954</v>
      </c>
      <c r="F296" s="14">
        <f t="shared" si="69"/>
        <v>0.33295281582952646</v>
      </c>
      <c r="G296" s="6"/>
      <c r="H296" s="115">
        <f t="shared" si="70"/>
        <v>438.00000000000216</v>
      </c>
      <c r="I296" s="115">
        <f t="shared" si="71"/>
        <v>2190.0000000000109</v>
      </c>
      <c r="J296" s="115">
        <f t="shared" si="72"/>
        <v>13322.500000000065</v>
      </c>
      <c r="K296" s="115">
        <f t="shared" si="73"/>
        <v>105120.00000000052</v>
      </c>
      <c r="L296" s="6"/>
      <c r="M296" s="11">
        <f t="shared" si="74"/>
        <v>11.415525114155194</v>
      </c>
    </row>
    <row r="297" spans="1:13">
      <c r="A297" s="115">
        <f t="shared" si="64"/>
        <v>29.300000000000146</v>
      </c>
      <c r="B297" s="11">
        <f t="shared" si="65"/>
        <v>4.9772468714447982</v>
      </c>
      <c r="C297" s="13">
        <f t="shared" si="66"/>
        <v>24.886234357223991</v>
      </c>
      <c r="D297" s="11">
        <f t="shared" si="67"/>
        <v>99.544937428895949</v>
      </c>
      <c r="E297" s="11">
        <f t="shared" si="68"/>
        <v>1194.5392491467514</v>
      </c>
      <c r="F297" s="14">
        <f t="shared" si="69"/>
        <v>0.33181645809631988</v>
      </c>
      <c r="G297" s="6"/>
      <c r="H297" s="115">
        <f t="shared" si="70"/>
        <v>439.50000000000222</v>
      </c>
      <c r="I297" s="115">
        <f t="shared" si="71"/>
        <v>2197.5000000000109</v>
      </c>
      <c r="J297" s="115">
        <f t="shared" si="72"/>
        <v>13368.125000000067</v>
      </c>
      <c r="K297" s="115">
        <f t="shared" si="73"/>
        <v>105480.00000000052</v>
      </c>
      <c r="L297" s="6"/>
      <c r="M297" s="11">
        <f t="shared" si="74"/>
        <v>11.376564277588111</v>
      </c>
    </row>
    <row r="298" spans="1:13">
      <c r="A298" s="115">
        <f t="shared" si="64"/>
        <v>29.400000000000148</v>
      </c>
      <c r="B298" s="11">
        <f t="shared" si="65"/>
        <v>4.9603174603174347</v>
      </c>
      <c r="C298" s="13">
        <f t="shared" si="66"/>
        <v>24.801587301587173</v>
      </c>
      <c r="D298" s="11">
        <f t="shared" si="67"/>
        <v>99.20634920634869</v>
      </c>
      <c r="E298" s="11">
        <f t="shared" si="68"/>
        <v>1190.4761904761842</v>
      </c>
      <c r="F298" s="14">
        <f t="shared" si="69"/>
        <v>0.33068783068782898</v>
      </c>
      <c r="G298" s="6"/>
      <c r="H298" s="115">
        <f t="shared" si="70"/>
        <v>441.00000000000222</v>
      </c>
      <c r="I298" s="115">
        <f t="shared" si="71"/>
        <v>2205.0000000000109</v>
      </c>
      <c r="J298" s="115">
        <f t="shared" si="72"/>
        <v>13413.750000000067</v>
      </c>
      <c r="K298" s="115">
        <f t="shared" si="73"/>
        <v>105840.00000000052</v>
      </c>
      <c r="L298" s="6"/>
      <c r="M298" s="11">
        <f t="shared" si="74"/>
        <v>11.337868480725566</v>
      </c>
    </row>
    <row r="299" spans="1:13">
      <c r="A299" s="115">
        <f t="shared" si="64"/>
        <v>29.500000000000149</v>
      </c>
      <c r="B299" s="11">
        <f t="shared" si="65"/>
        <v>4.9435028248587312</v>
      </c>
      <c r="C299" s="13">
        <f t="shared" si="66"/>
        <v>24.717514124293658</v>
      </c>
      <c r="D299" s="11">
        <f t="shared" si="67"/>
        <v>98.87005649717463</v>
      </c>
      <c r="E299" s="11">
        <f t="shared" si="68"/>
        <v>1186.4406779660956</v>
      </c>
      <c r="F299" s="14">
        <f t="shared" si="69"/>
        <v>0.32956685499058208</v>
      </c>
      <c r="G299" s="6"/>
      <c r="H299" s="115">
        <f t="shared" si="70"/>
        <v>442.50000000000222</v>
      </c>
      <c r="I299" s="115">
        <f t="shared" si="71"/>
        <v>2212.5000000000109</v>
      </c>
      <c r="J299" s="115">
        <f t="shared" si="72"/>
        <v>13459.375000000067</v>
      </c>
      <c r="K299" s="115">
        <f t="shared" si="73"/>
        <v>106200.00000000052</v>
      </c>
      <c r="L299" s="6"/>
      <c r="M299" s="11">
        <f t="shared" si="74"/>
        <v>11.299435028248531</v>
      </c>
    </row>
    <row r="300" spans="1:13">
      <c r="A300" s="115">
        <f t="shared" si="64"/>
        <v>29.600000000000151</v>
      </c>
      <c r="B300" s="11">
        <f t="shared" si="65"/>
        <v>4.9268018018017763</v>
      </c>
      <c r="C300" s="13">
        <f t="shared" si="66"/>
        <v>24.634009009008881</v>
      </c>
      <c r="D300" s="11">
        <f t="shared" si="67"/>
        <v>98.536036036035526</v>
      </c>
      <c r="E300" s="11">
        <f t="shared" si="68"/>
        <v>1182.4324324324264</v>
      </c>
      <c r="F300" s="14">
        <f t="shared" si="69"/>
        <v>0.32845345345345173</v>
      </c>
      <c r="G300" s="6"/>
      <c r="H300" s="115">
        <f t="shared" si="70"/>
        <v>444.00000000000227</v>
      </c>
      <c r="I300" s="115">
        <f t="shared" si="71"/>
        <v>2220.0000000000114</v>
      </c>
      <c r="J300" s="115">
        <f t="shared" si="72"/>
        <v>13505.000000000071</v>
      </c>
      <c r="K300" s="115">
        <f t="shared" si="73"/>
        <v>106560.00000000055</v>
      </c>
      <c r="L300" s="6"/>
      <c r="M300" s="11">
        <f t="shared" si="74"/>
        <v>11.261261261261204</v>
      </c>
    </row>
    <row r="301" spans="1:13">
      <c r="A301" s="115">
        <f t="shared" si="64"/>
        <v>29.700000000000152</v>
      </c>
      <c r="B301" s="11">
        <f t="shared" si="65"/>
        <v>4.9102132435465515</v>
      </c>
      <c r="C301" s="13">
        <f t="shared" si="66"/>
        <v>24.551066217732757</v>
      </c>
      <c r="D301" s="11">
        <f t="shared" si="67"/>
        <v>98.204264870931027</v>
      </c>
      <c r="E301" s="11">
        <f t="shared" si="68"/>
        <v>1178.4511784511724</v>
      </c>
      <c r="F301" s="14">
        <f t="shared" si="69"/>
        <v>0.32734754956977008</v>
      </c>
      <c r="G301" s="6"/>
      <c r="H301" s="115">
        <f t="shared" si="70"/>
        <v>445.50000000000227</v>
      </c>
      <c r="I301" s="115">
        <f t="shared" si="71"/>
        <v>2227.5000000000114</v>
      </c>
      <c r="J301" s="115">
        <f t="shared" si="72"/>
        <v>13550.625000000071</v>
      </c>
      <c r="K301" s="115">
        <f t="shared" si="73"/>
        <v>106920.00000000055</v>
      </c>
      <c r="L301" s="6"/>
      <c r="M301" s="11">
        <f t="shared" si="74"/>
        <v>11.223344556677834</v>
      </c>
    </row>
    <row r="302" spans="1:13">
      <c r="A302" s="115">
        <f t="shared" si="64"/>
        <v>29.800000000000153</v>
      </c>
      <c r="B302" s="11">
        <f t="shared" si="65"/>
        <v>4.8937360178970657</v>
      </c>
      <c r="C302" s="13">
        <f t="shared" si="66"/>
        <v>24.468680089485328</v>
      </c>
      <c r="D302" s="11">
        <f t="shared" si="67"/>
        <v>97.874720357941314</v>
      </c>
      <c r="E302" s="11">
        <f t="shared" si="68"/>
        <v>1174.4966442952957</v>
      </c>
      <c r="F302" s="14">
        <f t="shared" si="69"/>
        <v>0.3262490678598044</v>
      </c>
      <c r="G302" s="6"/>
      <c r="H302" s="115">
        <f t="shared" si="70"/>
        <v>447.00000000000227</v>
      </c>
      <c r="I302" s="115">
        <f t="shared" si="71"/>
        <v>2235.0000000000114</v>
      </c>
      <c r="J302" s="115">
        <f t="shared" si="72"/>
        <v>13596.250000000071</v>
      </c>
      <c r="K302" s="115">
        <f t="shared" si="73"/>
        <v>107280.00000000055</v>
      </c>
      <c r="L302" s="6"/>
      <c r="M302" s="11">
        <f t="shared" si="74"/>
        <v>11.185682326621867</v>
      </c>
    </row>
    <row r="303" spans="1:13">
      <c r="A303" s="115">
        <f t="shared" si="64"/>
        <v>29.900000000000155</v>
      </c>
      <c r="B303" s="11">
        <f t="shared" si="65"/>
        <v>4.8773690078037646</v>
      </c>
      <c r="C303" s="13">
        <f t="shared" si="66"/>
        <v>24.386845039018823</v>
      </c>
      <c r="D303" s="11">
        <f t="shared" si="67"/>
        <v>97.547380156075292</v>
      </c>
      <c r="E303" s="11">
        <f t="shared" si="68"/>
        <v>1170.5685618729035</v>
      </c>
      <c r="F303" s="14">
        <f t="shared" si="69"/>
        <v>0.32515793385358432</v>
      </c>
      <c r="G303" s="6"/>
      <c r="H303" s="115">
        <f t="shared" si="70"/>
        <v>448.50000000000233</v>
      </c>
      <c r="I303" s="115">
        <f t="shared" si="71"/>
        <v>2242.5000000000118</v>
      </c>
      <c r="J303" s="115">
        <f t="shared" si="72"/>
        <v>13641.875000000071</v>
      </c>
      <c r="K303" s="115">
        <f t="shared" si="73"/>
        <v>107640.00000000057</v>
      </c>
      <c r="L303" s="6"/>
      <c r="M303" s="11">
        <f t="shared" si="74"/>
        <v>11.148272017837177</v>
      </c>
    </row>
    <row r="304" spans="1:13">
      <c r="A304" s="115">
        <f t="shared" si="64"/>
        <v>30.000000000000156</v>
      </c>
      <c r="B304" s="11">
        <f t="shared" si="65"/>
        <v>4.861111111111085</v>
      </c>
      <c r="C304" s="13">
        <f t="shared" si="66"/>
        <v>24.305555555555426</v>
      </c>
      <c r="D304" s="11">
        <f t="shared" si="67"/>
        <v>97.222222222221703</v>
      </c>
      <c r="E304" s="11">
        <f t="shared" si="68"/>
        <v>1166.6666666666604</v>
      </c>
      <c r="F304" s="14">
        <f t="shared" si="69"/>
        <v>0.32407407407407235</v>
      </c>
      <c r="G304" s="6"/>
      <c r="H304" s="115">
        <f t="shared" si="70"/>
        <v>450.00000000000233</v>
      </c>
      <c r="I304" s="115">
        <f t="shared" si="71"/>
        <v>2250.0000000000118</v>
      </c>
      <c r="J304" s="115">
        <f t="shared" si="72"/>
        <v>13687.500000000071</v>
      </c>
      <c r="K304" s="115">
        <f t="shared" si="73"/>
        <v>108000.00000000057</v>
      </c>
      <c r="L304" s="6"/>
      <c r="M304" s="11">
        <f t="shared" si="74"/>
        <v>11.111111111111054</v>
      </c>
    </row>
    <row r="305" spans="1:13">
      <c r="A305" s="115">
        <f t="shared" si="64"/>
        <v>30.100000000000158</v>
      </c>
      <c r="B305" s="11">
        <f t="shared" si="65"/>
        <v>4.8449612403100515</v>
      </c>
      <c r="C305" s="13">
        <f t="shared" si="66"/>
        <v>24.224806201550258</v>
      </c>
      <c r="D305" s="11">
        <f t="shared" si="67"/>
        <v>96.899224806201047</v>
      </c>
      <c r="E305" s="11">
        <f t="shared" si="68"/>
        <v>1162.7906976744125</v>
      </c>
      <c r="F305" s="14">
        <f t="shared" si="69"/>
        <v>0.32299741602067011</v>
      </c>
      <c r="G305" s="6"/>
      <c r="H305" s="115">
        <f t="shared" si="70"/>
        <v>451.50000000000239</v>
      </c>
      <c r="I305" s="115">
        <f t="shared" si="71"/>
        <v>2257.5000000000118</v>
      </c>
      <c r="J305" s="115">
        <f t="shared" si="72"/>
        <v>13733.125000000073</v>
      </c>
      <c r="K305" s="115">
        <f t="shared" si="73"/>
        <v>108360.00000000057</v>
      </c>
      <c r="L305" s="6"/>
      <c r="M305" s="11">
        <f t="shared" si="74"/>
        <v>11.074197120708691</v>
      </c>
    </row>
    <row r="306" spans="1:13">
      <c r="A306" s="115">
        <f t="shared" si="64"/>
        <v>30.200000000000159</v>
      </c>
      <c r="B306" s="11">
        <f t="shared" si="65"/>
        <v>4.8289183222957792</v>
      </c>
      <c r="C306" s="13">
        <f t="shared" si="66"/>
        <v>24.144591611478894</v>
      </c>
      <c r="D306" s="11">
        <f t="shared" si="67"/>
        <v>96.578366445915591</v>
      </c>
      <c r="E306" s="11">
        <f t="shared" si="68"/>
        <v>1158.940397350987</v>
      </c>
      <c r="F306" s="14">
        <f t="shared" si="69"/>
        <v>0.32192788815305196</v>
      </c>
      <c r="G306" s="6"/>
      <c r="H306" s="115">
        <f t="shared" si="70"/>
        <v>453.00000000000239</v>
      </c>
      <c r="I306" s="115">
        <f t="shared" si="71"/>
        <v>2265.0000000000118</v>
      </c>
      <c r="J306" s="115">
        <f t="shared" si="72"/>
        <v>13778.750000000073</v>
      </c>
      <c r="K306" s="115">
        <f t="shared" si="73"/>
        <v>108720.00000000057</v>
      </c>
      <c r="L306" s="6"/>
      <c r="M306" s="11">
        <f t="shared" si="74"/>
        <v>11.037527593818927</v>
      </c>
    </row>
    <row r="307" spans="1:13">
      <c r="A307" s="115">
        <f t="shared" si="64"/>
        <v>30.300000000000161</v>
      </c>
      <c r="B307" s="11">
        <f t="shared" si="65"/>
        <v>4.8129812981297873</v>
      </c>
      <c r="C307" s="13">
        <f t="shared" si="66"/>
        <v>24.064906490648937</v>
      </c>
      <c r="D307" s="11">
        <f t="shared" si="67"/>
        <v>96.259625962595749</v>
      </c>
      <c r="E307" s="11">
        <f t="shared" si="68"/>
        <v>1155.115511551149</v>
      </c>
      <c r="F307" s="14">
        <f t="shared" si="69"/>
        <v>0.32086541987531914</v>
      </c>
      <c r="G307" s="6"/>
      <c r="H307" s="115">
        <f t="shared" si="70"/>
        <v>454.50000000000239</v>
      </c>
      <c r="I307" s="115">
        <f t="shared" si="71"/>
        <v>2272.5000000000118</v>
      </c>
      <c r="J307" s="115">
        <f t="shared" si="72"/>
        <v>13824.375000000073</v>
      </c>
      <c r="K307" s="115">
        <f t="shared" si="73"/>
        <v>109080.00000000057</v>
      </c>
      <c r="L307" s="6"/>
      <c r="M307" s="11">
        <f t="shared" si="74"/>
        <v>11.001100110010944</v>
      </c>
    </row>
    <row r="308" spans="1:13">
      <c r="A308" s="115">
        <f t="shared" si="64"/>
        <v>30.400000000000162</v>
      </c>
      <c r="B308" s="11">
        <f t="shared" si="65"/>
        <v>4.7971491228069914</v>
      </c>
      <c r="C308" s="13">
        <f t="shared" si="66"/>
        <v>23.985745614034958</v>
      </c>
      <c r="D308" s="11">
        <f t="shared" si="67"/>
        <v>95.942982456139831</v>
      </c>
      <c r="E308" s="11">
        <f t="shared" si="68"/>
        <v>1151.315789473678</v>
      </c>
      <c r="F308" s="14">
        <f t="shared" si="69"/>
        <v>0.3198099415204661</v>
      </c>
      <c r="G308" s="6"/>
      <c r="H308" s="115">
        <f t="shared" si="70"/>
        <v>456.00000000000244</v>
      </c>
      <c r="I308" s="115">
        <f t="shared" si="71"/>
        <v>2280.0000000000123</v>
      </c>
      <c r="J308" s="115">
        <f t="shared" si="72"/>
        <v>13870.000000000075</v>
      </c>
      <c r="K308" s="115">
        <f t="shared" si="73"/>
        <v>109440.00000000058</v>
      </c>
      <c r="L308" s="6"/>
      <c r="M308" s="11">
        <f t="shared" si="74"/>
        <v>10.964912280701695</v>
      </c>
    </row>
    <row r="309" spans="1:13">
      <c r="A309" s="115">
        <f t="shared" si="64"/>
        <v>30.500000000000163</v>
      </c>
      <c r="B309" s="11">
        <f t="shared" si="65"/>
        <v>4.7814207650272964</v>
      </c>
      <c r="C309" s="13">
        <f t="shared" si="66"/>
        <v>23.907103825136481</v>
      </c>
      <c r="D309" s="11">
        <f t="shared" si="67"/>
        <v>95.62841530054591</v>
      </c>
      <c r="E309" s="11">
        <f t="shared" si="68"/>
        <v>1147.540983606551</v>
      </c>
      <c r="F309" s="14">
        <f t="shared" si="69"/>
        <v>0.31876138433515311</v>
      </c>
      <c r="G309" s="6"/>
      <c r="H309" s="115">
        <f t="shared" si="70"/>
        <v>457.50000000000244</v>
      </c>
      <c r="I309" s="115">
        <f t="shared" si="71"/>
        <v>2287.5000000000123</v>
      </c>
      <c r="J309" s="115">
        <f t="shared" si="72"/>
        <v>13915.625000000075</v>
      </c>
      <c r="K309" s="115">
        <f t="shared" si="73"/>
        <v>109800.00000000058</v>
      </c>
      <c r="L309" s="6"/>
      <c r="M309" s="11">
        <f t="shared" si="74"/>
        <v>10.928961748633821</v>
      </c>
    </row>
    <row r="310" spans="1:13">
      <c r="A310" s="115">
        <f t="shared" si="64"/>
        <v>30.600000000000165</v>
      </c>
      <c r="B310" s="11">
        <f t="shared" si="65"/>
        <v>4.7657952069716512</v>
      </c>
      <c r="C310" s="13">
        <f t="shared" si="66"/>
        <v>23.828976034858258</v>
      </c>
      <c r="D310" s="11">
        <f t="shared" si="67"/>
        <v>95.31590413943303</v>
      </c>
      <c r="E310" s="11">
        <f t="shared" si="68"/>
        <v>1143.7908496731964</v>
      </c>
      <c r="F310" s="14">
        <f t="shared" si="69"/>
        <v>0.31771968046477672</v>
      </c>
      <c r="G310" s="6"/>
      <c r="H310" s="115">
        <f t="shared" si="70"/>
        <v>459.0000000000025</v>
      </c>
      <c r="I310" s="115">
        <f t="shared" si="71"/>
        <v>2295.0000000000127</v>
      </c>
      <c r="J310" s="115">
        <f t="shared" si="72"/>
        <v>13961.250000000075</v>
      </c>
      <c r="K310" s="115">
        <f t="shared" si="73"/>
        <v>110160.00000000061</v>
      </c>
      <c r="L310" s="6"/>
      <c r="M310" s="11">
        <f t="shared" si="74"/>
        <v>10.893246187363776</v>
      </c>
    </row>
    <row r="311" spans="1:13">
      <c r="A311" s="115">
        <f t="shared" si="64"/>
        <v>30.700000000000166</v>
      </c>
      <c r="B311" s="11">
        <f t="shared" si="65"/>
        <v>4.7502714440824922</v>
      </c>
      <c r="C311" s="13">
        <f t="shared" si="66"/>
        <v>23.751357220412462</v>
      </c>
      <c r="D311" s="11">
        <f t="shared" si="67"/>
        <v>95.005428881649848</v>
      </c>
      <c r="E311" s="11">
        <f t="shared" si="68"/>
        <v>1140.0651465797982</v>
      </c>
      <c r="F311" s="14">
        <f t="shared" si="69"/>
        <v>0.3166847629388328</v>
      </c>
      <c r="G311" s="6"/>
      <c r="H311" s="115">
        <f t="shared" si="70"/>
        <v>460.5000000000025</v>
      </c>
      <c r="I311" s="115">
        <f t="shared" si="71"/>
        <v>2302.5000000000127</v>
      </c>
      <c r="J311" s="115">
        <f t="shared" si="72"/>
        <v>14006.875000000075</v>
      </c>
      <c r="K311" s="115">
        <f t="shared" si="73"/>
        <v>110520.00000000061</v>
      </c>
      <c r="L311" s="6"/>
      <c r="M311" s="11">
        <f t="shared" si="74"/>
        <v>10.857763300759984</v>
      </c>
    </row>
    <row r="312" spans="1:13">
      <c r="A312" s="115">
        <f t="shared" si="64"/>
        <v>30.800000000000168</v>
      </c>
      <c r="B312" s="11">
        <f t="shared" si="65"/>
        <v>4.7348484848484587</v>
      </c>
      <c r="C312" s="13">
        <f t="shared" si="66"/>
        <v>23.674242424242294</v>
      </c>
      <c r="D312" s="11">
        <f t="shared" si="67"/>
        <v>94.696969696969177</v>
      </c>
      <c r="E312" s="11">
        <f t="shared" si="68"/>
        <v>1136.3636363636301</v>
      </c>
      <c r="F312" s="14">
        <f t="shared" si="69"/>
        <v>0.31565656565656391</v>
      </c>
      <c r="G312" s="6"/>
      <c r="H312" s="115">
        <f t="shared" si="70"/>
        <v>462.0000000000025</v>
      </c>
      <c r="I312" s="115">
        <f t="shared" si="71"/>
        <v>2310.0000000000127</v>
      </c>
      <c r="J312" s="115">
        <f t="shared" si="72"/>
        <v>14052.500000000075</v>
      </c>
      <c r="K312" s="115">
        <f t="shared" si="73"/>
        <v>110880.00000000061</v>
      </c>
      <c r="L312" s="6"/>
      <c r="M312" s="11">
        <f t="shared" si="74"/>
        <v>10.822510822510765</v>
      </c>
    </row>
    <row r="313" spans="1:13">
      <c r="A313" s="115">
        <f t="shared" si="64"/>
        <v>30.900000000000169</v>
      </c>
      <c r="B313" s="11">
        <f t="shared" si="65"/>
        <v>4.719525350593285</v>
      </c>
      <c r="C313" s="13">
        <f t="shared" si="66"/>
        <v>23.597626752966427</v>
      </c>
      <c r="D313" s="11">
        <f t="shared" si="67"/>
        <v>94.390507011865722</v>
      </c>
      <c r="E313" s="11">
        <f t="shared" si="68"/>
        <v>1132.6860841423886</v>
      </c>
      <c r="F313" s="14">
        <f t="shared" si="69"/>
        <v>0.31463502337288568</v>
      </c>
      <c r="G313" s="6"/>
      <c r="H313" s="115">
        <f t="shared" si="70"/>
        <v>463.50000000000256</v>
      </c>
      <c r="I313" s="115">
        <f t="shared" si="71"/>
        <v>2317.5000000000127</v>
      </c>
      <c r="J313" s="115">
        <f t="shared" si="72"/>
        <v>14098.125000000078</v>
      </c>
      <c r="K313" s="115">
        <f t="shared" si="73"/>
        <v>111240.00000000061</v>
      </c>
      <c r="L313" s="6"/>
      <c r="M313" s="11">
        <f t="shared" si="74"/>
        <v>10.787486515641795</v>
      </c>
    </row>
    <row r="314" spans="1:13">
      <c r="A314" s="115">
        <f t="shared" si="64"/>
        <v>31.000000000000171</v>
      </c>
      <c r="B314" s="11">
        <f t="shared" si="65"/>
        <v>4.7043010752687904</v>
      </c>
      <c r="C314" s="13">
        <f t="shared" si="66"/>
        <v>23.521505376343953</v>
      </c>
      <c r="D314" s="11">
        <f t="shared" si="67"/>
        <v>94.086021505375811</v>
      </c>
      <c r="E314" s="11">
        <f t="shared" si="68"/>
        <v>1129.0322580645097</v>
      </c>
      <c r="F314" s="14">
        <f t="shared" si="69"/>
        <v>0.313620071684586</v>
      </c>
      <c r="G314" s="6"/>
      <c r="H314" s="115">
        <f t="shared" si="70"/>
        <v>465.00000000000256</v>
      </c>
      <c r="I314" s="115">
        <f t="shared" si="71"/>
        <v>2325.0000000000127</v>
      </c>
      <c r="J314" s="115">
        <f t="shared" si="72"/>
        <v>14143.750000000078</v>
      </c>
      <c r="K314" s="115">
        <f t="shared" si="73"/>
        <v>111600.00000000061</v>
      </c>
      <c r="L314" s="6"/>
      <c r="M314" s="11">
        <f t="shared" si="74"/>
        <v>10.752688172042951</v>
      </c>
    </row>
    <row r="315" spans="1:13">
      <c r="A315" s="115">
        <f t="shared" si="64"/>
        <v>31.100000000000172</v>
      </c>
      <c r="B315" s="11">
        <f t="shared" si="65"/>
        <v>4.6891747052518493</v>
      </c>
      <c r="C315" s="13">
        <f t="shared" si="66"/>
        <v>23.445873526259248</v>
      </c>
      <c r="D315" s="11">
        <f t="shared" si="67"/>
        <v>93.783494105036993</v>
      </c>
      <c r="E315" s="11">
        <f t="shared" si="68"/>
        <v>1125.4019292604439</v>
      </c>
      <c r="F315" s="14">
        <f t="shared" si="69"/>
        <v>0.31261164701678995</v>
      </c>
      <c r="G315" s="6"/>
      <c r="H315" s="115">
        <f t="shared" si="70"/>
        <v>466.50000000000256</v>
      </c>
      <c r="I315" s="115">
        <f t="shared" si="71"/>
        <v>2332.5000000000127</v>
      </c>
      <c r="J315" s="115">
        <f t="shared" si="72"/>
        <v>14189.375000000078</v>
      </c>
      <c r="K315" s="115">
        <f t="shared" si="73"/>
        <v>111960.00000000061</v>
      </c>
      <c r="L315" s="6"/>
      <c r="M315" s="11">
        <f t="shared" si="74"/>
        <v>10.718113612004229</v>
      </c>
    </row>
    <row r="316" spans="1:13">
      <c r="A316" s="115">
        <f t="shared" si="64"/>
        <v>31.200000000000173</v>
      </c>
      <c r="B316" s="11">
        <f t="shared" si="65"/>
        <v>4.6741452991452723</v>
      </c>
      <c r="C316" s="13">
        <f t="shared" si="66"/>
        <v>23.370726495726363</v>
      </c>
      <c r="D316" s="11">
        <f t="shared" si="67"/>
        <v>93.48290598290545</v>
      </c>
      <c r="E316" s="11">
        <f t="shared" si="68"/>
        <v>1121.7948717948655</v>
      </c>
      <c r="F316" s="14">
        <f t="shared" si="69"/>
        <v>0.3116096866096848</v>
      </c>
      <c r="G316" s="6"/>
      <c r="H316" s="115">
        <f t="shared" si="70"/>
        <v>468.00000000000261</v>
      </c>
      <c r="I316" s="115">
        <f t="shared" si="71"/>
        <v>2340.0000000000132</v>
      </c>
      <c r="J316" s="115">
        <f t="shared" si="72"/>
        <v>14235.00000000008</v>
      </c>
      <c r="K316" s="115">
        <f t="shared" si="73"/>
        <v>112320.00000000064</v>
      </c>
      <c r="L316" s="6"/>
      <c r="M316" s="11">
        <f t="shared" si="74"/>
        <v>10.683760683760624</v>
      </c>
    </row>
    <row r="317" spans="1:13">
      <c r="A317" s="115">
        <f t="shared" si="64"/>
        <v>31.300000000000175</v>
      </c>
      <c r="B317" s="11">
        <f t="shared" si="65"/>
        <v>4.6592119275825077</v>
      </c>
      <c r="C317" s="13">
        <f t="shared" si="66"/>
        <v>23.296059637912538</v>
      </c>
      <c r="D317" s="11">
        <f t="shared" si="67"/>
        <v>93.184238551650154</v>
      </c>
      <c r="E317" s="11">
        <f t="shared" si="68"/>
        <v>1118.2108626198019</v>
      </c>
      <c r="F317" s="14">
        <f t="shared" si="69"/>
        <v>0.31061412850550052</v>
      </c>
      <c r="G317" s="6"/>
      <c r="H317" s="115">
        <f t="shared" si="70"/>
        <v>469.50000000000261</v>
      </c>
      <c r="I317" s="115">
        <f t="shared" si="71"/>
        <v>2347.5000000000132</v>
      </c>
      <c r="J317" s="115">
        <f t="shared" si="72"/>
        <v>14280.62500000008</v>
      </c>
      <c r="K317" s="115">
        <f t="shared" si="73"/>
        <v>112680.00000000064</v>
      </c>
      <c r="L317" s="6"/>
      <c r="M317" s="11">
        <f t="shared" si="74"/>
        <v>10.649627263045733</v>
      </c>
    </row>
    <row r="318" spans="1:13">
      <c r="A318" s="115">
        <f t="shared" ref="A318:A381" si="75">A317+0.1</f>
        <v>31.400000000000176</v>
      </c>
      <c r="B318" s="11">
        <f t="shared" si="65"/>
        <v>4.6443736730360667</v>
      </c>
      <c r="C318" s="13">
        <f t="shared" si="66"/>
        <v>23.221868365180335</v>
      </c>
      <c r="D318" s="11">
        <f t="shared" si="67"/>
        <v>92.887473460721324</v>
      </c>
      <c r="E318" s="11">
        <f t="shared" si="68"/>
        <v>1114.6496815286559</v>
      </c>
      <c r="F318" s="14">
        <f t="shared" si="69"/>
        <v>0.30962491153573779</v>
      </c>
      <c r="G318" s="6"/>
      <c r="H318" s="115">
        <f t="shared" si="70"/>
        <v>471.00000000000261</v>
      </c>
      <c r="I318" s="115">
        <f t="shared" si="71"/>
        <v>2355.0000000000132</v>
      </c>
      <c r="J318" s="115">
        <f t="shared" si="72"/>
        <v>14326.25000000008</v>
      </c>
      <c r="K318" s="115">
        <f t="shared" si="73"/>
        <v>113040.00000000064</v>
      </c>
      <c r="L318" s="6"/>
      <c r="M318" s="11">
        <f t="shared" si="74"/>
        <v>10.615711252653869</v>
      </c>
    </row>
    <row r="319" spans="1:13">
      <c r="A319" s="115">
        <f t="shared" si="75"/>
        <v>31.500000000000178</v>
      </c>
      <c r="B319" s="11">
        <f t="shared" si="65"/>
        <v>4.6296296296296031</v>
      </c>
      <c r="C319" s="13">
        <f t="shared" si="66"/>
        <v>23.148148148148017</v>
      </c>
      <c r="D319" s="11">
        <f t="shared" si="67"/>
        <v>92.592592592592084</v>
      </c>
      <c r="E319" s="11">
        <f t="shared" si="68"/>
        <v>1111.1111111111049</v>
      </c>
      <c r="F319" s="14">
        <f t="shared" si="69"/>
        <v>0.30864197530864018</v>
      </c>
      <c r="G319" s="6"/>
      <c r="H319" s="115">
        <f t="shared" si="70"/>
        <v>472.50000000000267</v>
      </c>
      <c r="I319" s="115">
        <f t="shared" si="71"/>
        <v>2362.5000000000132</v>
      </c>
      <c r="J319" s="115">
        <f t="shared" si="72"/>
        <v>14371.875000000082</v>
      </c>
      <c r="K319" s="115">
        <f t="shared" si="73"/>
        <v>113400.00000000064</v>
      </c>
      <c r="L319" s="6"/>
      <c r="M319" s="11">
        <f t="shared" si="74"/>
        <v>10.582010582010522</v>
      </c>
    </row>
    <row r="320" spans="1:13">
      <c r="A320" s="115">
        <f t="shared" si="75"/>
        <v>31.600000000000179</v>
      </c>
      <c r="B320" s="11">
        <f t="shared" si="65"/>
        <v>4.6149789029535597</v>
      </c>
      <c r="C320" s="13">
        <f t="shared" si="66"/>
        <v>23.074894514767799</v>
      </c>
      <c r="D320" s="11">
        <f t="shared" si="67"/>
        <v>92.29957805907118</v>
      </c>
      <c r="E320" s="11">
        <f t="shared" si="68"/>
        <v>1107.5949367088542</v>
      </c>
      <c r="F320" s="14">
        <f t="shared" si="69"/>
        <v>0.30766526019690399</v>
      </c>
      <c r="G320" s="6"/>
      <c r="H320" s="115">
        <f t="shared" si="70"/>
        <v>474.00000000000267</v>
      </c>
      <c r="I320" s="115">
        <f t="shared" si="71"/>
        <v>2370.0000000000132</v>
      </c>
      <c r="J320" s="115">
        <f t="shared" si="72"/>
        <v>14417.500000000082</v>
      </c>
      <c r="K320" s="115">
        <f t="shared" si="73"/>
        <v>113760.00000000064</v>
      </c>
      <c r="L320" s="6"/>
      <c r="M320" s="11">
        <f t="shared" si="74"/>
        <v>10.548523206750996</v>
      </c>
    </row>
    <row r="321" spans="1:13">
      <c r="A321" s="115">
        <f t="shared" si="75"/>
        <v>31.70000000000018</v>
      </c>
      <c r="B321" s="11">
        <f t="shared" si="65"/>
        <v>4.6004206098843055</v>
      </c>
      <c r="C321" s="13">
        <f t="shared" si="66"/>
        <v>23.002103049421528</v>
      </c>
      <c r="D321" s="11">
        <f t="shared" si="67"/>
        <v>92.008412197686127</v>
      </c>
      <c r="E321" s="11">
        <f t="shared" si="68"/>
        <v>1104.1009463722335</v>
      </c>
      <c r="F321" s="14">
        <f t="shared" si="69"/>
        <v>0.30669470732562037</v>
      </c>
      <c r="G321" s="6"/>
      <c r="H321" s="115">
        <f t="shared" si="70"/>
        <v>475.50000000000273</v>
      </c>
      <c r="I321" s="115">
        <f t="shared" si="71"/>
        <v>2377.5000000000136</v>
      </c>
      <c r="J321" s="115">
        <f t="shared" si="72"/>
        <v>14463.125000000082</v>
      </c>
      <c r="K321" s="115">
        <f t="shared" si="73"/>
        <v>114120.00000000065</v>
      </c>
      <c r="L321" s="6"/>
      <c r="M321" s="11">
        <f t="shared" si="74"/>
        <v>10.515247108306985</v>
      </c>
    </row>
    <row r="322" spans="1:13">
      <c r="A322" s="115">
        <f t="shared" si="75"/>
        <v>31.800000000000182</v>
      </c>
      <c r="B322" s="11">
        <f t="shared" ref="B322:B385" si="76">$B$3/A322</f>
        <v>4.5859538784066816</v>
      </c>
      <c r="C322" s="13">
        <f t="shared" ref="C322:C385" si="77">B322*5</f>
        <v>22.929769392033407</v>
      </c>
      <c r="D322" s="11">
        <f t="shared" ref="D322:D385" si="78">E322/12</f>
        <v>91.719077568133628</v>
      </c>
      <c r="E322" s="11">
        <f t="shared" ref="E322:E385" si="79">C322*48</f>
        <v>1100.6289308176035</v>
      </c>
      <c r="F322" s="14">
        <f t="shared" ref="F322:F385" si="80">B322/$I$2</f>
        <v>0.30573025856044544</v>
      </c>
      <c r="G322" s="6"/>
      <c r="H322" s="115">
        <f t="shared" ref="H322:H385" si="81">A322*$I$2</f>
        <v>477.00000000000273</v>
      </c>
      <c r="I322" s="115">
        <f t="shared" ref="I322:I385" si="82">H322*5</f>
        <v>2385.0000000000136</v>
      </c>
      <c r="J322" s="115">
        <f t="shared" ref="J322:J385" si="83">H322*365/12</f>
        <v>14508.750000000082</v>
      </c>
      <c r="K322" s="115">
        <f t="shared" ref="K322:K385" si="84">I322*48</f>
        <v>114480.00000000065</v>
      </c>
      <c r="L322" s="6"/>
      <c r="M322" s="11">
        <f t="shared" ref="M322:M385" si="85">$H$1/H322</f>
        <v>10.482180293500988</v>
      </c>
    </row>
    <row r="323" spans="1:13">
      <c r="A323" s="115">
        <f t="shared" si="75"/>
        <v>31.900000000000183</v>
      </c>
      <c r="B323" s="11">
        <f t="shared" si="76"/>
        <v>4.5715778474398894</v>
      </c>
      <c r="C323" s="13">
        <f t="shared" si="77"/>
        <v>22.857889237199448</v>
      </c>
      <c r="D323" s="11">
        <f t="shared" si="78"/>
        <v>91.431556948797791</v>
      </c>
      <c r="E323" s="11">
        <f t="shared" si="79"/>
        <v>1097.1786833855735</v>
      </c>
      <c r="F323" s="14">
        <f t="shared" si="80"/>
        <v>0.30477185649599264</v>
      </c>
      <c r="G323" s="6"/>
      <c r="H323" s="115">
        <f t="shared" si="81"/>
        <v>478.50000000000273</v>
      </c>
      <c r="I323" s="115">
        <f t="shared" si="82"/>
        <v>2392.5000000000136</v>
      </c>
      <c r="J323" s="115">
        <f t="shared" si="83"/>
        <v>14554.375000000082</v>
      </c>
      <c r="K323" s="115">
        <f t="shared" si="84"/>
        <v>114840.00000000065</v>
      </c>
      <c r="L323" s="6"/>
      <c r="M323" s="11">
        <f t="shared" si="85"/>
        <v>10.449320794148321</v>
      </c>
    </row>
    <row r="324" spans="1:13">
      <c r="A324" s="115">
        <f t="shared" si="75"/>
        <v>32.000000000000185</v>
      </c>
      <c r="B324" s="11">
        <f t="shared" si="76"/>
        <v>4.5572916666666394</v>
      </c>
      <c r="C324" s="13">
        <f t="shared" si="77"/>
        <v>22.786458333333197</v>
      </c>
      <c r="D324" s="11">
        <f t="shared" si="78"/>
        <v>91.145833333332789</v>
      </c>
      <c r="E324" s="11">
        <f t="shared" si="79"/>
        <v>1093.7499999999934</v>
      </c>
      <c r="F324" s="14">
        <f t="shared" si="80"/>
        <v>0.30381944444444264</v>
      </c>
      <c r="G324" s="6"/>
      <c r="H324" s="115">
        <f t="shared" si="81"/>
        <v>480.00000000000279</v>
      </c>
      <c r="I324" s="115">
        <f t="shared" si="82"/>
        <v>2400.0000000000141</v>
      </c>
      <c r="J324" s="115">
        <f t="shared" si="83"/>
        <v>14600.000000000085</v>
      </c>
      <c r="K324" s="115">
        <f t="shared" si="84"/>
        <v>115200.00000000067</v>
      </c>
      <c r="L324" s="6"/>
      <c r="M324" s="11">
        <f t="shared" si="85"/>
        <v>10.416666666666606</v>
      </c>
    </row>
    <row r="325" spans="1:13">
      <c r="A325" s="115">
        <f t="shared" si="75"/>
        <v>32.100000000000186</v>
      </c>
      <c r="B325" s="11">
        <f t="shared" si="76"/>
        <v>4.5430944963654971</v>
      </c>
      <c r="C325" s="13">
        <f t="shared" si="77"/>
        <v>22.715472481827486</v>
      </c>
      <c r="D325" s="11">
        <f t="shared" si="78"/>
        <v>90.861889927309946</v>
      </c>
      <c r="E325" s="11">
        <f t="shared" si="79"/>
        <v>1090.3426791277193</v>
      </c>
      <c r="F325" s="14">
        <f t="shared" si="80"/>
        <v>0.30287296642436645</v>
      </c>
      <c r="G325" s="6"/>
      <c r="H325" s="115">
        <f t="shared" si="81"/>
        <v>481.50000000000279</v>
      </c>
      <c r="I325" s="115">
        <f t="shared" si="82"/>
        <v>2407.5000000000141</v>
      </c>
      <c r="J325" s="115">
        <f t="shared" si="83"/>
        <v>14645.625000000085</v>
      </c>
      <c r="K325" s="115">
        <f t="shared" si="84"/>
        <v>115560.00000000067</v>
      </c>
      <c r="L325" s="6"/>
      <c r="M325" s="11">
        <f t="shared" si="85"/>
        <v>10.384215991692567</v>
      </c>
    </row>
    <row r="326" spans="1:13">
      <c r="A326" s="115">
        <f t="shared" si="75"/>
        <v>32.200000000000188</v>
      </c>
      <c r="B326" s="11">
        <f t="shared" si="76"/>
        <v>4.5289855072463494</v>
      </c>
      <c r="C326" s="13">
        <f t="shared" si="77"/>
        <v>22.644927536231748</v>
      </c>
      <c r="D326" s="11">
        <f t="shared" si="78"/>
        <v>90.579710144926992</v>
      </c>
      <c r="E326" s="11">
        <f t="shared" si="79"/>
        <v>1086.9565217391239</v>
      </c>
      <c r="F326" s="14">
        <f t="shared" si="80"/>
        <v>0.30193236714975663</v>
      </c>
      <c r="G326" s="6"/>
      <c r="H326" s="115">
        <f t="shared" si="81"/>
        <v>483.00000000000284</v>
      </c>
      <c r="I326" s="115">
        <f t="shared" si="82"/>
        <v>2415.0000000000141</v>
      </c>
      <c r="J326" s="115">
        <f t="shared" si="83"/>
        <v>14691.250000000087</v>
      </c>
      <c r="K326" s="115">
        <f t="shared" si="84"/>
        <v>115920.00000000067</v>
      </c>
      <c r="L326" s="6"/>
      <c r="M326" s="11">
        <f t="shared" si="85"/>
        <v>10.351966873705944</v>
      </c>
    </row>
    <row r="327" spans="1:13">
      <c r="A327" s="115">
        <f t="shared" si="75"/>
        <v>32.300000000000189</v>
      </c>
      <c r="B327" s="11">
        <f t="shared" si="76"/>
        <v>4.5149638802889305</v>
      </c>
      <c r="C327" s="13">
        <f t="shared" si="77"/>
        <v>22.574819401444653</v>
      </c>
      <c r="D327" s="11">
        <f t="shared" si="78"/>
        <v>90.299277605778613</v>
      </c>
      <c r="E327" s="11">
        <f t="shared" si="79"/>
        <v>1083.5913312693433</v>
      </c>
      <c r="F327" s="14">
        <f t="shared" si="80"/>
        <v>0.30099759201926202</v>
      </c>
      <c r="G327" s="6"/>
      <c r="H327" s="115">
        <f t="shared" si="81"/>
        <v>484.50000000000284</v>
      </c>
      <c r="I327" s="115">
        <f t="shared" si="82"/>
        <v>2422.5000000000141</v>
      </c>
      <c r="J327" s="115">
        <f t="shared" si="83"/>
        <v>14736.875000000087</v>
      </c>
      <c r="K327" s="115">
        <f t="shared" si="84"/>
        <v>116280.00000000067</v>
      </c>
      <c r="L327" s="6"/>
      <c r="M327" s="11">
        <f t="shared" si="85"/>
        <v>10.319917440660415</v>
      </c>
    </row>
    <row r="328" spans="1:13">
      <c r="A328" s="115">
        <f t="shared" si="75"/>
        <v>32.40000000000019</v>
      </c>
      <c r="B328" s="11">
        <f t="shared" si="76"/>
        <v>4.5010288065843351</v>
      </c>
      <c r="C328" s="13">
        <f t="shared" si="77"/>
        <v>22.505144032921677</v>
      </c>
      <c r="D328" s="11">
        <f t="shared" si="78"/>
        <v>90.02057613168671</v>
      </c>
      <c r="E328" s="11">
        <f t="shared" si="79"/>
        <v>1080.2469135802405</v>
      </c>
      <c r="F328" s="14">
        <f t="shared" si="80"/>
        <v>0.30006858710562234</v>
      </c>
      <c r="G328" s="6"/>
      <c r="H328" s="115">
        <f t="shared" si="81"/>
        <v>486.00000000000284</v>
      </c>
      <c r="I328" s="115">
        <f t="shared" si="82"/>
        <v>2430.0000000000141</v>
      </c>
      <c r="J328" s="115">
        <f t="shared" si="83"/>
        <v>14782.500000000087</v>
      </c>
      <c r="K328" s="115">
        <f t="shared" si="84"/>
        <v>116640.00000000067</v>
      </c>
      <c r="L328" s="6"/>
      <c r="M328" s="11">
        <f t="shared" si="85"/>
        <v>10.288065843621339</v>
      </c>
    </row>
    <row r="329" spans="1:13">
      <c r="A329" s="115">
        <f t="shared" si="75"/>
        <v>32.500000000000192</v>
      </c>
      <c r="B329" s="11">
        <f t="shared" si="76"/>
        <v>4.4871794871794597</v>
      </c>
      <c r="C329" s="13">
        <f t="shared" si="77"/>
        <v>22.435897435897299</v>
      </c>
      <c r="D329" s="11">
        <f t="shared" si="78"/>
        <v>89.743589743589197</v>
      </c>
      <c r="E329" s="11">
        <f t="shared" si="79"/>
        <v>1076.9230769230703</v>
      </c>
      <c r="F329" s="14">
        <f t="shared" si="80"/>
        <v>0.29914529914529731</v>
      </c>
      <c r="G329" s="6"/>
      <c r="H329" s="115">
        <f t="shared" si="81"/>
        <v>487.5000000000029</v>
      </c>
      <c r="I329" s="115">
        <f t="shared" si="82"/>
        <v>2437.5000000000146</v>
      </c>
      <c r="J329" s="115">
        <f t="shared" si="83"/>
        <v>14828.125000000087</v>
      </c>
      <c r="K329" s="115">
        <f t="shared" si="84"/>
        <v>117000.0000000007</v>
      </c>
      <c r="L329" s="6"/>
      <c r="M329" s="11">
        <f t="shared" si="85"/>
        <v>10.256410256410195</v>
      </c>
    </row>
    <row r="330" spans="1:13">
      <c r="A330" s="115">
        <f t="shared" si="75"/>
        <v>32.600000000000193</v>
      </c>
      <c r="B330" s="11">
        <f t="shared" si="76"/>
        <v>4.4734151329243081</v>
      </c>
      <c r="C330" s="13">
        <f t="shared" si="77"/>
        <v>22.367075664621542</v>
      </c>
      <c r="D330" s="11">
        <f t="shared" si="78"/>
        <v>89.468302658486166</v>
      </c>
      <c r="E330" s="11">
        <f t="shared" si="79"/>
        <v>1073.6196319018341</v>
      </c>
      <c r="F330" s="14">
        <f t="shared" si="80"/>
        <v>0.29822767552828722</v>
      </c>
      <c r="G330" s="6"/>
      <c r="H330" s="115">
        <f t="shared" si="81"/>
        <v>489.0000000000029</v>
      </c>
      <c r="I330" s="115">
        <f t="shared" si="82"/>
        <v>2445.0000000000146</v>
      </c>
      <c r="J330" s="115">
        <f t="shared" si="83"/>
        <v>14873.750000000087</v>
      </c>
      <c r="K330" s="115">
        <f t="shared" si="84"/>
        <v>117360.0000000007</v>
      </c>
      <c r="L330" s="6"/>
      <c r="M330" s="11">
        <f t="shared" si="85"/>
        <v>10.224948875255564</v>
      </c>
    </row>
    <row r="331" spans="1:13">
      <c r="A331" s="115">
        <f t="shared" si="75"/>
        <v>32.700000000000195</v>
      </c>
      <c r="B331" s="11">
        <f t="shared" si="76"/>
        <v>4.4597349643220934</v>
      </c>
      <c r="C331" s="13">
        <f t="shared" si="77"/>
        <v>22.298674821610469</v>
      </c>
      <c r="D331" s="11">
        <f t="shared" si="78"/>
        <v>89.194699286441889</v>
      </c>
      <c r="E331" s="11">
        <f t="shared" si="79"/>
        <v>1070.3363914373026</v>
      </c>
      <c r="F331" s="14">
        <f t="shared" si="80"/>
        <v>0.29731566428813955</v>
      </c>
      <c r="G331" s="6"/>
      <c r="H331" s="115">
        <f t="shared" si="81"/>
        <v>490.5000000000029</v>
      </c>
      <c r="I331" s="115">
        <f t="shared" si="82"/>
        <v>2452.5000000000146</v>
      </c>
      <c r="J331" s="115">
        <f t="shared" si="83"/>
        <v>14919.375000000087</v>
      </c>
      <c r="K331" s="115">
        <f t="shared" si="84"/>
        <v>117720.0000000007</v>
      </c>
      <c r="L331" s="6"/>
      <c r="M331" s="11">
        <f t="shared" si="85"/>
        <v>10.193679918450501</v>
      </c>
    </row>
    <row r="332" spans="1:13">
      <c r="A332" s="115">
        <f t="shared" si="75"/>
        <v>32.800000000000196</v>
      </c>
      <c r="B332" s="11">
        <f t="shared" si="76"/>
        <v>4.4461382113820864</v>
      </c>
      <c r="C332" s="13">
        <f t="shared" si="77"/>
        <v>22.23069105691043</v>
      </c>
      <c r="D332" s="11">
        <f t="shared" si="78"/>
        <v>88.922764227641721</v>
      </c>
      <c r="E332" s="11">
        <f t="shared" si="79"/>
        <v>1067.0731707317007</v>
      </c>
      <c r="F332" s="14">
        <f t="shared" si="80"/>
        <v>0.29640921409213911</v>
      </c>
      <c r="G332" s="6"/>
      <c r="H332" s="115">
        <f t="shared" si="81"/>
        <v>492.00000000000296</v>
      </c>
      <c r="I332" s="115">
        <f t="shared" si="82"/>
        <v>2460.0000000000146</v>
      </c>
      <c r="J332" s="115">
        <f t="shared" si="83"/>
        <v>14965.000000000089</v>
      </c>
      <c r="K332" s="115">
        <f t="shared" si="84"/>
        <v>118080.0000000007</v>
      </c>
      <c r="L332" s="6"/>
      <c r="M332" s="11">
        <f t="shared" si="85"/>
        <v>10.162601626016199</v>
      </c>
    </row>
    <row r="333" spans="1:13">
      <c r="A333" s="115">
        <f t="shared" si="75"/>
        <v>32.900000000000198</v>
      </c>
      <c r="B333" s="11">
        <f t="shared" si="76"/>
        <v>4.4326241134751498</v>
      </c>
      <c r="C333" s="13">
        <f t="shared" si="77"/>
        <v>22.163120567375749</v>
      </c>
      <c r="D333" s="11">
        <f t="shared" si="78"/>
        <v>88.652482269502983</v>
      </c>
      <c r="E333" s="11">
        <f t="shared" si="79"/>
        <v>1063.8297872340358</v>
      </c>
      <c r="F333" s="14">
        <f t="shared" si="80"/>
        <v>0.29550827423167664</v>
      </c>
      <c r="G333" s="6"/>
      <c r="H333" s="115">
        <f t="shared" si="81"/>
        <v>493.50000000000296</v>
      </c>
      <c r="I333" s="115">
        <f t="shared" si="82"/>
        <v>2467.5000000000146</v>
      </c>
      <c r="J333" s="115">
        <f t="shared" si="83"/>
        <v>15010.625000000089</v>
      </c>
      <c r="K333" s="115">
        <f t="shared" si="84"/>
        <v>118440.0000000007</v>
      </c>
      <c r="L333" s="6"/>
      <c r="M333" s="11">
        <f t="shared" si="85"/>
        <v>10.131712259371772</v>
      </c>
    </row>
    <row r="334" spans="1:13">
      <c r="A334" s="115">
        <f t="shared" si="75"/>
        <v>33.000000000000199</v>
      </c>
      <c r="B334" s="11">
        <f t="shared" si="76"/>
        <v>4.419191919191892</v>
      </c>
      <c r="C334" s="13">
        <f t="shared" si="77"/>
        <v>22.09595959595946</v>
      </c>
      <c r="D334" s="11">
        <f t="shared" si="78"/>
        <v>88.383838383837841</v>
      </c>
      <c r="E334" s="11">
        <f t="shared" si="79"/>
        <v>1060.6060606060541</v>
      </c>
      <c r="F334" s="14">
        <f t="shared" si="80"/>
        <v>0.29461279461279283</v>
      </c>
      <c r="G334" s="6"/>
      <c r="H334" s="115">
        <f t="shared" si="81"/>
        <v>495.00000000000296</v>
      </c>
      <c r="I334" s="115">
        <f t="shared" si="82"/>
        <v>2475.0000000000146</v>
      </c>
      <c r="J334" s="115">
        <f t="shared" si="83"/>
        <v>15056.250000000089</v>
      </c>
      <c r="K334" s="115">
        <f t="shared" si="84"/>
        <v>118800.0000000007</v>
      </c>
      <c r="L334" s="6"/>
      <c r="M334" s="11">
        <f t="shared" si="85"/>
        <v>10.10101010101004</v>
      </c>
    </row>
    <row r="335" spans="1:13">
      <c r="A335" s="115">
        <f t="shared" si="75"/>
        <v>33.1000000000002</v>
      </c>
      <c r="B335" s="11">
        <f t="shared" si="76"/>
        <v>4.4058408862033964</v>
      </c>
      <c r="C335" s="13">
        <f t="shared" si="77"/>
        <v>22.029204431016982</v>
      </c>
      <c r="D335" s="11">
        <f t="shared" si="78"/>
        <v>88.116817724067928</v>
      </c>
      <c r="E335" s="11">
        <f t="shared" si="79"/>
        <v>1057.4018126888152</v>
      </c>
      <c r="F335" s="14">
        <f t="shared" si="80"/>
        <v>0.29372272574689312</v>
      </c>
      <c r="G335" s="6"/>
      <c r="H335" s="115">
        <f t="shared" si="81"/>
        <v>496.50000000000301</v>
      </c>
      <c r="I335" s="115">
        <f t="shared" si="82"/>
        <v>2482.500000000015</v>
      </c>
      <c r="J335" s="115">
        <f t="shared" si="83"/>
        <v>15101.875000000093</v>
      </c>
      <c r="K335" s="115">
        <f t="shared" si="84"/>
        <v>119160.00000000073</v>
      </c>
      <c r="L335" s="6"/>
      <c r="M335" s="11">
        <f t="shared" si="85"/>
        <v>10.070493454179193</v>
      </c>
    </row>
    <row r="336" spans="1:13">
      <c r="A336" s="115">
        <f t="shared" si="75"/>
        <v>33.200000000000202</v>
      </c>
      <c r="B336" s="11">
        <f t="shared" si="76"/>
        <v>4.3925702811244705</v>
      </c>
      <c r="C336" s="13">
        <f t="shared" si="77"/>
        <v>21.962851405622352</v>
      </c>
      <c r="D336" s="11">
        <f t="shared" si="78"/>
        <v>87.851405622489395</v>
      </c>
      <c r="E336" s="11">
        <f t="shared" si="79"/>
        <v>1054.2168674698728</v>
      </c>
      <c r="F336" s="14">
        <f t="shared" si="80"/>
        <v>0.29283801874163135</v>
      </c>
      <c r="G336" s="6"/>
      <c r="H336" s="115">
        <f t="shared" si="81"/>
        <v>498.00000000000301</v>
      </c>
      <c r="I336" s="115">
        <f t="shared" si="82"/>
        <v>2490.000000000015</v>
      </c>
      <c r="J336" s="115">
        <f t="shared" si="83"/>
        <v>15147.500000000093</v>
      </c>
      <c r="K336" s="115">
        <f t="shared" si="84"/>
        <v>119520.00000000073</v>
      </c>
      <c r="L336" s="6"/>
      <c r="M336" s="11">
        <f t="shared" si="85"/>
        <v>10.040160642570221</v>
      </c>
    </row>
    <row r="337" spans="1:13">
      <c r="A337" s="115">
        <f t="shared" si="75"/>
        <v>33.300000000000203</v>
      </c>
      <c r="B337" s="11">
        <f t="shared" si="76"/>
        <v>4.3793793793793521</v>
      </c>
      <c r="C337" s="13">
        <f t="shared" si="77"/>
        <v>21.896896896896759</v>
      </c>
      <c r="D337" s="11">
        <f t="shared" si="78"/>
        <v>87.587587587587038</v>
      </c>
      <c r="E337" s="11">
        <f t="shared" si="79"/>
        <v>1051.0510510510444</v>
      </c>
      <c r="F337" s="14">
        <f t="shared" si="80"/>
        <v>0.29195862529195682</v>
      </c>
      <c r="G337" s="6"/>
      <c r="H337" s="115">
        <f t="shared" si="81"/>
        <v>499.50000000000307</v>
      </c>
      <c r="I337" s="115">
        <f t="shared" si="82"/>
        <v>2497.5000000000155</v>
      </c>
      <c r="J337" s="115">
        <f t="shared" si="83"/>
        <v>15193.125000000093</v>
      </c>
      <c r="K337" s="115">
        <f t="shared" si="84"/>
        <v>119880.00000000074</v>
      </c>
      <c r="L337" s="6"/>
      <c r="M337" s="11">
        <f t="shared" si="85"/>
        <v>10.010010010009948</v>
      </c>
    </row>
    <row r="338" spans="1:13">
      <c r="A338" s="115">
        <f t="shared" si="75"/>
        <v>33.400000000000205</v>
      </c>
      <c r="B338" s="11">
        <f t="shared" si="76"/>
        <v>4.366267465069833</v>
      </c>
      <c r="C338" s="13">
        <f t="shared" si="77"/>
        <v>21.831337325349164</v>
      </c>
      <c r="D338" s="11">
        <f t="shared" si="78"/>
        <v>87.325349301396656</v>
      </c>
      <c r="E338" s="11">
        <f t="shared" si="79"/>
        <v>1047.9041916167598</v>
      </c>
      <c r="F338" s="14">
        <f t="shared" si="80"/>
        <v>0.29108449767132222</v>
      </c>
      <c r="G338" s="6"/>
      <c r="H338" s="115">
        <f t="shared" si="81"/>
        <v>501.00000000000307</v>
      </c>
      <c r="I338" s="115">
        <f t="shared" si="82"/>
        <v>2505.0000000000155</v>
      </c>
      <c r="J338" s="115">
        <f t="shared" si="83"/>
        <v>15238.750000000093</v>
      </c>
      <c r="K338" s="115">
        <f t="shared" si="84"/>
        <v>120240.00000000074</v>
      </c>
      <c r="L338" s="6"/>
      <c r="M338" s="11">
        <f t="shared" si="85"/>
        <v>9.9800399201596193</v>
      </c>
    </row>
    <row r="339" spans="1:13">
      <c r="A339" s="115">
        <f t="shared" si="75"/>
        <v>33.500000000000206</v>
      </c>
      <c r="B339" s="11">
        <f t="shared" si="76"/>
        <v>4.3532338308457437</v>
      </c>
      <c r="C339" s="13">
        <f t="shared" si="77"/>
        <v>21.76616915422872</v>
      </c>
      <c r="D339" s="11">
        <f t="shared" si="78"/>
        <v>87.06467661691488</v>
      </c>
      <c r="E339" s="11">
        <f t="shared" si="79"/>
        <v>1044.7761194029786</v>
      </c>
      <c r="F339" s="14">
        <f t="shared" si="80"/>
        <v>0.29021558872304959</v>
      </c>
      <c r="G339" s="6"/>
      <c r="H339" s="115">
        <f t="shared" si="81"/>
        <v>502.50000000000307</v>
      </c>
      <c r="I339" s="115">
        <f t="shared" si="82"/>
        <v>2512.5000000000155</v>
      </c>
      <c r="J339" s="115">
        <f t="shared" si="83"/>
        <v>15284.375000000093</v>
      </c>
      <c r="K339" s="115">
        <f t="shared" si="84"/>
        <v>120600.00000000074</v>
      </c>
      <c r="L339" s="6"/>
      <c r="M339" s="11">
        <f t="shared" si="85"/>
        <v>9.9502487562188442</v>
      </c>
    </row>
    <row r="340" spans="1:13">
      <c r="A340" s="115">
        <f t="shared" si="75"/>
        <v>33.600000000000207</v>
      </c>
      <c r="B340" s="11">
        <f t="shared" si="76"/>
        <v>4.3402777777777501</v>
      </c>
      <c r="C340" s="13">
        <f t="shared" si="77"/>
        <v>21.701388888888751</v>
      </c>
      <c r="D340" s="11">
        <f t="shared" si="78"/>
        <v>86.805555555555017</v>
      </c>
      <c r="E340" s="11">
        <f t="shared" si="79"/>
        <v>1041.6666666666601</v>
      </c>
      <c r="F340" s="14">
        <f t="shared" si="80"/>
        <v>0.28935185185185003</v>
      </c>
      <c r="G340" s="6"/>
      <c r="H340" s="115">
        <f t="shared" si="81"/>
        <v>504.00000000000313</v>
      </c>
      <c r="I340" s="115">
        <f t="shared" si="82"/>
        <v>2520.0000000000155</v>
      </c>
      <c r="J340" s="115">
        <f t="shared" si="83"/>
        <v>15330.000000000095</v>
      </c>
      <c r="K340" s="115">
        <f t="shared" si="84"/>
        <v>120960.00000000074</v>
      </c>
      <c r="L340" s="6"/>
      <c r="M340" s="11">
        <f t="shared" si="85"/>
        <v>9.9206349206348587</v>
      </c>
    </row>
    <row r="341" spans="1:13">
      <c r="A341" s="115">
        <f t="shared" si="75"/>
        <v>33.700000000000209</v>
      </c>
      <c r="B341" s="11">
        <f t="shared" si="76"/>
        <v>4.3273986152324158</v>
      </c>
      <c r="C341" s="13">
        <f t="shared" si="77"/>
        <v>21.636993076162078</v>
      </c>
      <c r="D341" s="11">
        <f t="shared" si="78"/>
        <v>86.547972304648326</v>
      </c>
      <c r="E341" s="11">
        <f t="shared" si="79"/>
        <v>1038.5756676557799</v>
      </c>
      <c r="F341" s="14">
        <f t="shared" si="80"/>
        <v>0.28849324101549439</v>
      </c>
      <c r="G341" s="6"/>
      <c r="H341" s="115">
        <f t="shared" si="81"/>
        <v>505.50000000000313</v>
      </c>
      <c r="I341" s="115">
        <f t="shared" si="82"/>
        <v>2527.5000000000155</v>
      </c>
      <c r="J341" s="115">
        <f t="shared" si="83"/>
        <v>15375.625000000095</v>
      </c>
      <c r="K341" s="115">
        <f t="shared" si="84"/>
        <v>121320.00000000074</v>
      </c>
      <c r="L341" s="6"/>
      <c r="M341" s="11">
        <f t="shared" si="85"/>
        <v>9.8911968348169523</v>
      </c>
    </row>
    <row r="342" spans="1:13">
      <c r="A342" s="115">
        <f t="shared" si="75"/>
        <v>33.80000000000021</v>
      </c>
      <c r="B342" s="11">
        <f t="shared" si="76"/>
        <v>4.3145956607494798</v>
      </c>
      <c r="C342" s="13">
        <f t="shared" si="77"/>
        <v>21.572978303747398</v>
      </c>
      <c r="D342" s="11">
        <f t="shared" si="78"/>
        <v>86.291913214989606</v>
      </c>
      <c r="E342" s="11">
        <f t="shared" si="79"/>
        <v>1035.5029585798752</v>
      </c>
      <c r="F342" s="14">
        <f t="shared" si="80"/>
        <v>0.28763971071663197</v>
      </c>
      <c r="G342" s="6"/>
      <c r="H342" s="115">
        <f t="shared" si="81"/>
        <v>507.00000000000318</v>
      </c>
      <c r="I342" s="115">
        <f t="shared" si="82"/>
        <v>2535.0000000000159</v>
      </c>
      <c r="J342" s="115">
        <f t="shared" si="83"/>
        <v>15421.250000000096</v>
      </c>
      <c r="K342" s="115">
        <f t="shared" si="84"/>
        <v>121680.00000000076</v>
      </c>
      <c r="L342" s="6"/>
      <c r="M342" s="11">
        <f t="shared" si="85"/>
        <v>9.8619329388559542</v>
      </c>
    </row>
    <row r="343" spans="1:13">
      <c r="A343" s="115">
        <f t="shared" si="75"/>
        <v>33.900000000000212</v>
      </c>
      <c r="B343" s="11">
        <f t="shared" si="76"/>
        <v>4.3018682399213102</v>
      </c>
      <c r="C343" s="13">
        <f t="shared" si="77"/>
        <v>21.509341199606553</v>
      </c>
      <c r="D343" s="11">
        <f t="shared" si="78"/>
        <v>86.037364798426211</v>
      </c>
      <c r="E343" s="11">
        <f t="shared" si="79"/>
        <v>1032.4483775811145</v>
      </c>
      <c r="F343" s="14">
        <f t="shared" si="80"/>
        <v>0.28679121599475399</v>
      </c>
      <c r="G343" s="6"/>
      <c r="H343" s="115">
        <f t="shared" si="81"/>
        <v>508.50000000000318</v>
      </c>
      <c r="I343" s="115">
        <f t="shared" si="82"/>
        <v>2542.5000000000159</v>
      </c>
      <c r="J343" s="115">
        <f t="shared" si="83"/>
        <v>15466.875000000096</v>
      </c>
      <c r="K343" s="115">
        <f t="shared" si="84"/>
        <v>122040.00000000076</v>
      </c>
      <c r="L343" s="6"/>
      <c r="M343" s="11">
        <f t="shared" si="85"/>
        <v>9.83284169124871</v>
      </c>
    </row>
    <row r="344" spans="1:13">
      <c r="A344" s="115">
        <f t="shared" si="75"/>
        <v>34.000000000000213</v>
      </c>
      <c r="B344" s="11">
        <f t="shared" si="76"/>
        <v>4.2892156862744821</v>
      </c>
      <c r="C344" s="13">
        <f t="shared" si="77"/>
        <v>21.44607843137241</v>
      </c>
      <c r="D344" s="11">
        <f t="shared" si="78"/>
        <v>85.784313725489639</v>
      </c>
      <c r="E344" s="11">
        <f t="shared" si="79"/>
        <v>1029.4117647058756</v>
      </c>
      <c r="F344" s="14">
        <f t="shared" si="80"/>
        <v>0.28594771241829881</v>
      </c>
      <c r="G344" s="6"/>
      <c r="H344" s="115">
        <f t="shared" si="81"/>
        <v>510.00000000000318</v>
      </c>
      <c r="I344" s="115">
        <f t="shared" si="82"/>
        <v>2550.0000000000159</v>
      </c>
      <c r="J344" s="115">
        <f t="shared" si="83"/>
        <v>15512.500000000096</v>
      </c>
      <c r="K344" s="115">
        <f t="shared" si="84"/>
        <v>122400.00000000076</v>
      </c>
      <c r="L344" s="6"/>
      <c r="M344" s="11">
        <f t="shared" si="85"/>
        <v>9.8039215686273895</v>
      </c>
    </row>
    <row r="345" spans="1:13">
      <c r="A345" s="115">
        <f t="shared" si="75"/>
        <v>34.100000000000215</v>
      </c>
      <c r="B345" s="11">
        <f t="shared" si="76"/>
        <v>4.2766373411534424</v>
      </c>
      <c r="C345" s="13">
        <f t="shared" si="77"/>
        <v>21.383186705767212</v>
      </c>
      <c r="D345" s="11">
        <f t="shared" si="78"/>
        <v>85.532746823068848</v>
      </c>
      <c r="E345" s="11">
        <f t="shared" si="79"/>
        <v>1026.3929618768261</v>
      </c>
      <c r="F345" s="14">
        <f t="shared" si="80"/>
        <v>0.28510915607689619</v>
      </c>
      <c r="G345" s="6"/>
      <c r="H345" s="115">
        <f t="shared" si="81"/>
        <v>511.50000000000324</v>
      </c>
      <c r="I345" s="115">
        <f t="shared" si="82"/>
        <v>2557.5000000000164</v>
      </c>
      <c r="J345" s="115">
        <f t="shared" si="83"/>
        <v>15558.1250000001</v>
      </c>
      <c r="K345" s="115">
        <f t="shared" si="84"/>
        <v>122760.00000000079</v>
      </c>
      <c r="L345" s="6"/>
      <c r="M345" s="11">
        <f t="shared" si="85"/>
        <v>9.7751710654935842</v>
      </c>
    </row>
    <row r="346" spans="1:13">
      <c r="A346" s="115">
        <f t="shared" si="75"/>
        <v>34.200000000000216</v>
      </c>
      <c r="B346" s="11">
        <f t="shared" si="76"/>
        <v>4.2641325536062107</v>
      </c>
      <c r="C346" s="13">
        <f t="shared" si="77"/>
        <v>21.320662768031053</v>
      </c>
      <c r="D346" s="11">
        <f t="shared" si="78"/>
        <v>85.28265107212421</v>
      </c>
      <c r="E346" s="11">
        <f t="shared" si="79"/>
        <v>1023.3918128654905</v>
      </c>
      <c r="F346" s="14">
        <f t="shared" si="80"/>
        <v>0.28427550357374737</v>
      </c>
      <c r="G346" s="6"/>
      <c r="H346" s="115">
        <f t="shared" si="81"/>
        <v>513.00000000000318</v>
      </c>
      <c r="I346" s="115">
        <f t="shared" si="82"/>
        <v>2565.0000000000159</v>
      </c>
      <c r="J346" s="115">
        <f t="shared" si="83"/>
        <v>15603.750000000096</v>
      </c>
      <c r="K346" s="115">
        <f t="shared" si="84"/>
        <v>123120.00000000076</v>
      </c>
      <c r="L346" s="6"/>
      <c r="M346" s="11">
        <f t="shared" si="85"/>
        <v>9.7465886939570545</v>
      </c>
    </row>
    <row r="347" spans="1:13">
      <c r="A347" s="115">
        <f t="shared" si="75"/>
        <v>34.300000000000217</v>
      </c>
      <c r="B347" s="11">
        <f t="shared" si="76"/>
        <v>4.2517006802720809</v>
      </c>
      <c r="C347" s="13">
        <f t="shared" si="77"/>
        <v>21.258503401360404</v>
      </c>
      <c r="D347" s="11">
        <f t="shared" si="78"/>
        <v>85.034013605441615</v>
      </c>
      <c r="E347" s="11">
        <f t="shared" si="79"/>
        <v>1020.4081632652994</v>
      </c>
      <c r="F347" s="14">
        <f t="shared" si="80"/>
        <v>0.2834467120181387</v>
      </c>
      <c r="G347" s="6"/>
      <c r="H347" s="115">
        <f t="shared" si="81"/>
        <v>514.5000000000033</v>
      </c>
      <c r="I347" s="115">
        <f t="shared" si="82"/>
        <v>2572.5000000000164</v>
      </c>
      <c r="J347" s="115">
        <f t="shared" si="83"/>
        <v>15649.3750000001</v>
      </c>
      <c r="K347" s="115">
        <f t="shared" si="84"/>
        <v>123480.00000000079</v>
      </c>
      <c r="L347" s="6"/>
      <c r="M347" s="11">
        <f t="shared" si="85"/>
        <v>9.7181729834790431</v>
      </c>
    </row>
    <row r="348" spans="1:13">
      <c r="A348" s="115">
        <f t="shared" si="75"/>
        <v>34.400000000000219</v>
      </c>
      <c r="B348" s="11">
        <f t="shared" si="76"/>
        <v>4.2393410852712901</v>
      </c>
      <c r="C348" s="13">
        <f t="shared" si="77"/>
        <v>21.196705426356452</v>
      </c>
      <c r="D348" s="11">
        <f t="shared" si="78"/>
        <v>84.786821705425808</v>
      </c>
      <c r="E348" s="11">
        <f t="shared" si="79"/>
        <v>1017.4418604651097</v>
      </c>
      <c r="F348" s="14">
        <f t="shared" si="80"/>
        <v>0.28262273901808599</v>
      </c>
      <c r="G348" s="6"/>
      <c r="H348" s="115">
        <f t="shared" si="81"/>
        <v>516.0000000000033</v>
      </c>
      <c r="I348" s="115">
        <f t="shared" si="82"/>
        <v>2580.0000000000164</v>
      </c>
      <c r="J348" s="115">
        <f t="shared" si="83"/>
        <v>15695.0000000001</v>
      </c>
      <c r="K348" s="115">
        <f t="shared" si="84"/>
        <v>123840.00000000079</v>
      </c>
      <c r="L348" s="6"/>
      <c r="M348" s="11">
        <f t="shared" si="85"/>
        <v>9.6899224806200923</v>
      </c>
    </row>
    <row r="349" spans="1:13">
      <c r="A349" s="115">
        <f t="shared" si="75"/>
        <v>34.50000000000022</v>
      </c>
      <c r="B349" s="11">
        <f t="shared" si="76"/>
        <v>4.2270531400965909</v>
      </c>
      <c r="C349" s="13">
        <f t="shared" si="77"/>
        <v>21.135265700482954</v>
      </c>
      <c r="D349" s="11">
        <f t="shared" si="78"/>
        <v>84.541062801931815</v>
      </c>
      <c r="E349" s="11">
        <f t="shared" si="79"/>
        <v>1014.4927536231818</v>
      </c>
      <c r="F349" s="14">
        <f t="shared" si="80"/>
        <v>0.28180354267310609</v>
      </c>
      <c r="G349" s="6"/>
      <c r="H349" s="115">
        <f t="shared" si="81"/>
        <v>517.5000000000033</v>
      </c>
      <c r="I349" s="115">
        <f t="shared" si="82"/>
        <v>2587.5000000000164</v>
      </c>
      <c r="J349" s="115">
        <f t="shared" si="83"/>
        <v>15740.6250000001</v>
      </c>
      <c r="K349" s="115">
        <f t="shared" si="84"/>
        <v>124200.00000000079</v>
      </c>
      <c r="L349" s="6"/>
      <c r="M349" s="11">
        <f t="shared" si="85"/>
        <v>9.6618357487922086</v>
      </c>
    </row>
    <row r="350" spans="1:13">
      <c r="A350" s="115">
        <f t="shared" si="75"/>
        <v>34.600000000000222</v>
      </c>
      <c r="B350" s="11">
        <f t="shared" si="76"/>
        <v>4.2148362235067163</v>
      </c>
      <c r="C350" s="13">
        <f t="shared" si="77"/>
        <v>21.07418111753358</v>
      </c>
      <c r="D350" s="11">
        <f t="shared" si="78"/>
        <v>84.296724470134322</v>
      </c>
      <c r="E350" s="11">
        <f t="shared" si="79"/>
        <v>1011.5606936416118</v>
      </c>
      <c r="F350" s="14">
        <f t="shared" si="80"/>
        <v>0.28098908156711444</v>
      </c>
      <c r="G350" s="6"/>
      <c r="H350" s="115">
        <f t="shared" si="81"/>
        <v>519.0000000000033</v>
      </c>
      <c r="I350" s="115">
        <f t="shared" si="82"/>
        <v>2595.0000000000164</v>
      </c>
      <c r="J350" s="115">
        <f t="shared" si="83"/>
        <v>15786.2500000001</v>
      </c>
      <c r="K350" s="115">
        <f t="shared" si="84"/>
        <v>124560.00000000079</v>
      </c>
      <c r="L350" s="6"/>
      <c r="M350" s="11">
        <f t="shared" si="85"/>
        <v>9.6339113680153527</v>
      </c>
    </row>
    <row r="351" spans="1:13">
      <c r="A351" s="115">
        <f t="shared" si="75"/>
        <v>34.700000000000223</v>
      </c>
      <c r="B351" s="11">
        <f t="shared" si="76"/>
        <v>4.2026897214216827</v>
      </c>
      <c r="C351" s="13">
        <f t="shared" si="77"/>
        <v>21.013448607108415</v>
      </c>
      <c r="D351" s="11">
        <f t="shared" si="78"/>
        <v>84.053794428433662</v>
      </c>
      <c r="E351" s="11">
        <f t="shared" si="79"/>
        <v>1008.6455331412039</v>
      </c>
      <c r="F351" s="14">
        <f t="shared" si="80"/>
        <v>0.28017931476144553</v>
      </c>
      <c r="G351" s="6"/>
      <c r="H351" s="115">
        <f t="shared" si="81"/>
        <v>520.5000000000033</v>
      </c>
      <c r="I351" s="115">
        <f t="shared" si="82"/>
        <v>2602.5000000000164</v>
      </c>
      <c r="J351" s="115">
        <f t="shared" si="83"/>
        <v>15831.8750000001</v>
      </c>
      <c r="K351" s="115">
        <f t="shared" si="84"/>
        <v>124920.00000000079</v>
      </c>
      <c r="L351" s="6"/>
      <c r="M351" s="11">
        <f t="shared" si="85"/>
        <v>9.606147934678134</v>
      </c>
    </row>
    <row r="352" spans="1:13">
      <c r="A352" s="115">
        <f t="shared" si="75"/>
        <v>34.800000000000225</v>
      </c>
      <c r="B352" s="11">
        <f t="shared" si="76"/>
        <v>4.1906130268198956</v>
      </c>
      <c r="C352" s="13">
        <f t="shared" si="77"/>
        <v>20.953065134099479</v>
      </c>
      <c r="D352" s="11">
        <f t="shared" si="78"/>
        <v>83.812260536397915</v>
      </c>
      <c r="E352" s="11">
        <f t="shared" si="79"/>
        <v>1005.747126436775</v>
      </c>
      <c r="F352" s="14">
        <f t="shared" si="80"/>
        <v>0.27937420178799305</v>
      </c>
      <c r="G352" s="6"/>
      <c r="H352" s="115">
        <f t="shared" si="81"/>
        <v>522.00000000000341</v>
      </c>
      <c r="I352" s="115">
        <f t="shared" si="82"/>
        <v>2610.0000000000173</v>
      </c>
      <c r="J352" s="115">
        <f t="shared" si="83"/>
        <v>15877.500000000104</v>
      </c>
      <c r="K352" s="115">
        <f t="shared" si="84"/>
        <v>125280.00000000083</v>
      </c>
      <c r="L352" s="6"/>
      <c r="M352" s="11">
        <f t="shared" si="85"/>
        <v>9.5785440613026189</v>
      </c>
    </row>
    <row r="353" spans="1:13">
      <c r="A353" s="115">
        <f t="shared" si="75"/>
        <v>34.900000000000226</v>
      </c>
      <c r="B353" s="11">
        <f t="shared" si="76"/>
        <v>4.1786055396370303</v>
      </c>
      <c r="C353" s="13">
        <f t="shared" si="77"/>
        <v>20.893027698185151</v>
      </c>
      <c r="D353" s="11">
        <f t="shared" si="78"/>
        <v>83.572110792740602</v>
      </c>
      <c r="E353" s="11">
        <f t="shared" si="79"/>
        <v>1002.8653295128872</v>
      </c>
      <c r="F353" s="14">
        <f t="shared" si="80"/>
        <v>0.27857370264246867</v>
      </c>
      <c r="G353" s="6"/>
      <c r="H353" s="115">
        <f t="shared" si="81"/>
        <v>523.50000000000341</v>
      </c>
      <c r="I353" s="115">
        <f t="shared" si="82"/>
        <v>2617.5000000000173</v>
      </c>
      <c r="J353" s="115">
        <f t="shared" si="83"/>
        <v>15923.125000000104</v>
      </c>
      <c r="K353" s="115">
        <f t="shared" si="84"/>
        <v>125640.00000000083</v>
      </c>
      <c r="L353" s="6"/>
      <c r="M353" s="11">
        <f t="shared" si="85"/>
        <v>9.5510983763132131</v>
      </c>
    </row>
    <row r="354" spans="1:13">
      <c r="A354" s="115">
        <f t="shared" si="75"/>
        <v>35.000000000000227</v>
      </c>
      <c r="B354" s="11">
        <f t="shared" si="76"/>
        <v>4.1666666666666394</v>
      </c>
      <c r="C354" s="13">
        <f t="shared" si="77"/>
        <v>20.833333333333197</v>
      </c>
      <c r="D354" s="11">
        <f t="shared" si="78"/>
        <v>83.333333333332789</v>
      </c>
      <c r="E354" s="11">
        <f t="shared" si="79"/>
        <v>999.99999999999341</v>
      </c>
      <c r="F354" s="14">
        <f t="shared" si="80"/>
        <v>0.27777777777777596</v>
      </c>
      <c r="G354" s="6"/>
      <c r="H354" s="115">
        <f t="shared" si="81"/>
        <v>525.00000000000341</v>
      </c>
      <c r="I354" s="115">
        <f t="shared" si="82"/>
        <v>2625.0000000000173</v>
      </c>
      <c r="J354" s="115">
        <f t="shared" si="83"/>
        <v>15968.750000000104</v>
      </c>
      <c r="K354" s="115">
        <f t="shared" si="84"/>
        <v>126000.00000000083</v>
      </c>
      <c r="L354" s="6"/>
      <c r="M354" s="11">
        <f t="shared" si="85"/>
        <v>9.5238095238094616</v>
      </c>
    </row>
    <row r="355" spans="1:13">
      <c r="A355" s="115">
        <f t="shared" si="75"/>
        <v>35.100000000000229</v>
      </c>
      <c r="B355" s="11">
        <f t="shared" si="76"/>
        <v>4.1547958214624607</v>
      </c>
      <c r="C355" s="13">
        <f t="shared" si="77"/>
        <v>20.773979107312304</v>
      </c>
      <c r="D355" s="11">
        <f t="shared" si="78"/>
        <v>83.095916429249215</v>
      </c>
      <c r="E355" s="11">
        <f t="shared" si="79"/>
        <v>997.15099715099063</v>
      </c>
      <c r="F355" s="14">
        <f t="shared" si="80"/>
        <v>0.27698638809749737</v>
      </c>
      <c r="G355" s="6"/>
      <c r="H355" s="115">
        <f t="shared" si="81"/>
        <v>526.50000000000341</v>
      </c>
      <c r="I355" s="115">
        <f t="shared" si="82"/>
        <v>2632.5000000000173</v>
      </c>
      <c r="J355" s="115">
        <f t="shared" si="83"/>
        <v>16014.375000000104</v>
      </c>
      <c r="K355" s="115">
        <f t="shared" si="84"/>
        <v>126360.00000000083</v>
      </c>
      <c r="L355" s="6"/>
      <c r="M355" s="11">
        <f t="shared" si="85"/>
        <v>9.4966761633427677</v>
      </c>
    </row>
    <row r="356" spans="1:13">
      <c r="A356" s="115">
        <f t="shared" si="75"/>
        <v>35.20000000000023</v>
      </c>
      <c r="B356" s="11">
        <f t="shared" si="76"/>
        <v>4.1429924242423963</v>
      </c>
      <c r="C356" s="13">
        <f t="shared" si="77"/>
        <v>20.714962121211983</v>
      </c>
      <c r="D356" s="11">
        <f t="shared" si="78"/>
        <v>82.85984848484793</v>
      </c>
      <c r="E356" s="11">
        <f t="shared" si="79"/>
        <v>994.31818181817516</v>
      </c>
      <c r="F356" s="14">
        <f t="shared" si="80"/>
        <v>0.27619949494949309</v>
      </c>
      <c r="G356" s="6"/>
      <c r="H356" s="115">
        <f t="shared" si="81"/>
        <v>528.00000000000341</v>
      </c>
      <c r="I356" s="115">
        <f t="shared" si="82"/>
        <v>2640.0000000000173</v>
      </c>
      <c r="J356" s="115">
        <f t="shared" si="83"/>
        <v>16060.000000000104</v>
      </c>
      <c r="K356" s="115">
        <f t="shared" si="84"/>
        <v>126720.00000000083</v>
      </c>
      <c r="L356" s="6"/>
      <c r="M356" s="11">
        <f t="shared" si="85"/>
        <v>9.4696969696969084</v>
      </c>
    </row>
    <row r="357" spans="1:13">
      <c r="A357" s="115">
        <f t="shared" si="75"/>
        <v>35.300000000000232</v>
      </c>
      <c r="B357" s="11">
        <f t="shared" si="76"/>
        <v>4.1312559017941179</v>
      </c>
      <c r="C357" s="13">
        <f t="shared" si="77"/>
        <v>20.656279508970592</v>
      </c>
      <c r="D357" s="11">
        <f t="shared" si="78"/>
        <v>82.625118035882366</v>
      </c>
      <c r="E357" s="11">
        <f t="shared" si="79"/>
        <v>991.50141643058839</v>
      </c>
      <c r="F357" s="14">
        <f t="shared" si="80"/>
        <v>0.27541706011960787</v>
      </c>
      <c r="G357" s="6"/>
      <c r="H357" s="115">
        <f t="shared" si="81"/>
        <v>529.50000000000352</v>
      </c>
      <c r="I357" s="115">
        <f t="shared" si="82"/>
        <v>2647.5000000000177</v>
      </c>
      <c r="J357" s="115">
        <f t="shared" si="83"/>
        <v>16105.625000000107</v>
      </c>
      <c r="K357" s="115">
        <f t="shared" si="84"/>
        <v>127080.00000000084</v>
      </c>
      <c r="L357" s="6"/>
      <c r="M357" s="11">
        <f t="shared" si="85"/>
        <v>9.4428706326722693</v>
      </c>
    </row>
    <row r="358" spans="1:13">
      <c r="A358" s="115">
        <f t="shared" si="75"/>
        <v>35.400000000000233</v>
      </c>
      <c r="B358" s="11">
        <f t="shared" si="76"/>
        <v>4.11958568738227</v>
      </c>
      <c r="C358" s="13">
        <f t="shared" si="77"/>
        <v>20.597928436911349</v>
      </c>
      <c r="D358" s="11">
        <f t="shared" si="78"/>
        <v>82.391713747645397</v>
      </c>
      <c r="E358" s="11">
        <f t="shared" si="79"/>
        <v>988.70056497174483</v>
      </c>
      <c r="F358" s="14">
        <f t="shared" si="80"/>
        <v>0.27463904582548465</v>
      </c>
      <c r="G358" s="6"/>
      <c r="H358" s="115">
        <f t="shared" si="81"/>
        <v>531.00000000000352</v>
      </c>
      <c r="I358" s="115">
        <f t="shared" si="82"/>
        <v>2655.0000000000177</v>
      </c>
      <c r="J358" s="115">
        <f t="shared" si="83"/>
        <v>16151.250000000107</v>
      </c>
      <c r="K358" s="115">
        <f t="shared" si="84"/>
        <v>127440.00000000084</v>
      </c>
      <c r="L358" s="6"/>
      <c r="M358" s="11">
        <f t="shared" si="85"/>
        <v>9.4161958568737596</v>
      </c>
    </row>
    <row r="359" spans="1:13">
      <c r="A359" s="115">
        <f t="shared" si="75"/>
        <v>35.500000000000234</v>
      </c>
      <c r="B359" s="11">
        <f t="shared" si="76"/>
        <v>4.1079812206572495</v>
      </c>
      <c r="C359" s="13">
        <f t="shared" si="77"/>
        <v>20.539906103286249</v>
      </c>
      <c r="D359" s="11">
        <f t="shared" si="78"/>
        <v>82.159624413144996</v>
      </c>
      <c r="E359" s="11">
        <f t="shared" si="79"/>
        <v>985.91549295773996</v>
      </c>
      <c r="F359" s="14">
        <f t="shared" si="80"/>
        <v>0.27386541471048331</v>
      </c>
      <c r="G359" s="6"/>
      <c r="H359" s="115">
        <f t="shared" si="81"/>
        <v>532.50000000000352</v>
      </c>
      <c r="I359" s="115">
        <f t="shared" si="82"/>
        <v>2662.5000000000177</v>
      </c>
      <c r="J359" s="115">
        <f t="shared" si="83"/>
        <v>16196.875000000107</v>
      </c>
      <c r="K359" s="115">
        <f t="shared" si="84"/>
        <v>127800.00000000084</v>
      </c>
      <c r="L359" s="6"/>
      <c r="M359" s="11">
        <f t="shared" si="85"/>
        <v>9.3896713615022858</v>
      </c>
    </row>
    <row r="360" spans="1:13">
      <c r="A360" s="115">
        <f t="shared" si="75"/>
        <v>35.600000000000236</v>
      </c>
      <c r="B360" s="11">
        <f t="shared" si="76"/>
        <v>4.0964419475655154</v>
      </c>
      <c r="C360" s="13">
        <f t="shared" si="77"/>
        <v>20.482209737827578</v>
      </c>
      <c r="D360" s="11">
        <f t="shared" si="78"/>
        <v>81.928838951310311</v>
      </c>
      <c r="E360" s="11">
        <f t="shared" si="79"/>
        <v>983.14606741572379</v>
      </c>
      <c r="F360" s="14">
        <f t="shared" si="80"/>
        <v>0.27309612983770104</v>
      </c>
      <c r="G360" s="6"/>
      <c r="H360" s="115">
        <f t="shared" si="81"/>
        <v>534.00000000000352</v>
      </c>
      <c r="I360" s="115">
        <f t="shared" si="82"/>
        <v>2670.0000000000177</v>
      </c>
      <c r="J360" s="115">
        <f t="shared" si="83"/>
        <v>16242.500000000107</v>
      </c>
      <c r="K360" s="115">
        <f t="shared" si="84"/>
        <v>128160.00000000084</v>
      </c>
      <c r="L360" s="6"/>
      <c r="M360" s="11">
        <f t="shared" si="85"/>
        <v>9.3632958801497512</v>
      </c>
    </row>
    <row r="361" spans="1:13">
      <c r="A361" s="115">
        <f t="shared" si="75"/>
        <v>35.700000000000237</v>
      </c>
      <c r="B361" s="11">
        <f t="shared" si="76"/>
        <v>4.0849673202614101</v>
      </c>
      <c r="C361" s="13">
        <f t="shared" si="77"/>
        <v>20.424836601307049</v>
      </c>
      <c r="D361" s="11">
        <f t="shared" si="78"/>
        <v>81.699346405228198</v>
      </c>
      <c r="E361" s="11">
        <f t="shared" si="79"/>
        <v>980.39215686273837</v>
      </c>
      <c r="F361" s="14">
        <f t="shared" si="80"/>
        <v>0.27233115468409402</v>
      </c>
      <c r="G361" s="6"/>
      <c r="H361" s="115">
        <f t="shared" si="81"/>
        <v>535.50000000000352</v>
      </c>
      <c r="I361" s="115">
        <f t="shared" si="82"/>
        <v>2677.5000000000177</v>
      </c>
      <c r="J361" s="115">
        <f t="shared" si="83"/>
        <v>16288.125000000107</v>
      </c>
      <c r="K361" s="115">
        <f t="shared" si="84"/>
        <v>128520.00000000084</v>
      </c>
      <c r="L361" s="6"/>
      <c r="M361" s="11">
        <f t="shared" si="85"/>
        <v>9.3370681605975108</v>
      </c>
    </row>
    <row r="362" spans="1:13">
      <c r="A362" s="115">
        <f t="shared" si="75"/>
        <v>35.800000000000239</v>
      </c>
      <c r="B362" s="11">
        <f t="shared" si="76"/>
        <v>4.0735567970204567</v>
      </c>
      <c r="C362" s="13">
        <f t="shared" si="77"/>
        <v>20.367783985102285</v>
      </c>
      <c r="D362" s="11">
        <f t="shared" si="78"/>
        <v>81.471135940409141</v>
      </c>
      <c r="E362" s="11">
        <f t="shared" si="79"/>
        <v>977.65363128490969</v>
      </c>
      <c r="F362" s="14">
        <f t="shared" si="80"/>
        <v>0.27157045313469713</v>
      </c>
      <c r="G362" s="6"/>
      <c r="H362" s="115">
        <f t="shared" si="81"/>
        <v>537.00000000000364</v>
      </c>
      <c r="I362" s="115">
        <f t="shared" si="82"/>
        <v>2685.0000000000182</v>
      </c>
      <c r="J362" s="115">
        <f t="shared" si="83"/>
        <v>16333.750000000111</v>
      </c>
      <c r="K362" s="115">
        <f t="shared" si="84"/>
        <v>128880.00000000087</v>
      </c>
      <c r="L362" s="6"/>
      <c r="M362" s="11">
        <f t="shared" si="85"/>
        <v>9.310986964618186</v>
      </c>
    </row>
    <row r="363" spans="1:13">
      <c r="A363" s="115">
        <f t="shared" si="75"/>
        <v>35.90000000000024</v>
      </c>
      <c r="B363" s="11">
        <f t="shared" si="76"/>
        <v>4.062209842154104</v>
      </c>
      <c r="C363" s="13">
        <f t="shared" si="77"/>
        <v>20.31104921077052</v>
      </c>
      <c r="D363" s="11">
        <f t="shared" si="78"/>
        <v>81.244196843082079</v>
      </c>
      <c r="E363" s="11">
        <f t="shared" si="79"/>
        <v>974.93036211698495</v>
      </c>
      <c r="F363" s="14">
        <f t="shared" si="80"/>
        <v>0.27081398947694024</v>
      </c>
      <c r="G363" s="6"/>
      <c r="H363" s="115">
        <f t="shared" si="81"/>
        <v>538.50000000000364</v>
      </c>
      <c r="I363" s="115">
        <f t="shared" si="82"/>
        <v>2692.5000000000182</v>
      </c>
      <c r="J363" s="115">
        <f t="shared" si="83"/>
        <v>16379.375000000111</v>
      </c>
      <c r="K363" s="115">
        <f t="shared" si="84"/>
        <v>129240.00000000087</v>
      </c>
      <c r="L363" s="6"/>
      <c r="M363" s="11">
        <f t="shared" si="85"/>
        <v>9.2850510677808096</v>
      </c>
    </row>
    <row r="364" spans="1:13">
      <c r="A364" s="115">
        <f t="shared" si="75"/>
        <v>36.000000000000242</v>
      </c>
      <c r="B364" s="11">
        <f t="shared" si="76"/>
        <v>4.0509259259258981</v>
      </c>
      <c r="C364" s="13">
        <f t="shared" si="77"/>
        <v>20.254629629629491</v>
      </c>
      <c r="D364" s="11">
        <f t="shared" si="78"/>
        <v>81.018518518517965</v>
      </c>
      <c r="E364" s="11">
        <f t="shared" si="79"/>
        <v>972.22222222221558</v>
      </c>
      <c r="F364" s="14">
        <f t="shared" si="80"/>
        <v>0.27006172839505987</v>
      </c>
      <c r="G364" s="6"/>
      <c r="H364" s="115">
        <f t="shared" si="81"/>
        <v>540.00000000000364</v>
      </c>
      <c r="I364" s="115">
        <f t="shared" si="82"/>
        <v>2700.0000000000182</v>
      </c>
      <c r="J364" s="115">
        <f t="shared" si="83"/>
        <v>16425.000000000113</v>
      </c>
      <c r="K364" s="115">
        <f t="shared" si="84"/>
        <v>129600.00000000087</v>
      </c>
      <c r="L364" s="6"/>
      <c r="M364" s="11">
        <f t="shared" si="85"/>
        <v>9.2592592592591973</v>
      </c>
    </row>
    <row r="365" spans="1:13">
      <c r="A365" s="115">
        <f t="shared" si="75"/>
        <v>36.100000000000243</v>
      </c>
      <c r="B365" s="11">
        <f t="shared" si="76"/>
        <v>4.0397045244690393</v>
      </c>
      <c r="C365" s="13">
        <f t="shared" si="77"/>
        <v>20.198522622345195</v>
      </c>
      <c r="D365" s="11">
        <f t="shared" si="78"/>
        <v>80.794090489380778</v>
      </c>
      <c r="E365" s="11">
        <f t="shared" si="79"/>
        <v>969.52908587256934</v>
      </c>
      <c r="F365" s="14">
        <f t="shared" si="80"/>
        <v>0.26931363496460264</v>
      </c>
      <c r="G365" s="6"/>
      <c r="H365" s="115">
        <f t="shared" si="81"/>
        <v>541.50000000000364</v>
      </c>
      <c r="I365" s="115">
        <f t="shared" si="82"/>
        <v>2707.5000000000182</v>
      </c>
      <c r="J365" s="115">
        <f t="shared" si="83"/>
        <v>16470.625000000113</v>
      </c>
      <c r="K365" s="115">
        <f t="shared" si="84"/>
        <v>129960.00000000087</v>
      </c>
      <c r="L365" s="6"/>
      <c r="M365" s="11">
        <f t="shared" si="85"/>
        <v>9.2336103416435211</v>
      </c>
    </row>
    <row r="366" spans="1:13">
      <c r="A366" s="115">
        <f t="shared" si="75"/>
        <v>36.200000000000244</v>
      </c>
      <c r="B366" s="11">
        <f t="shared" si="76"/>
        <v>4.0285451197053126</v>
      </c>
      <c r="C366" s="13">
        <f t="shared" si="77"/>
        <v>20.142725598526564</v>
      </c>
      <c r="D366" s="11">
        <f t="shared" si="78"/>
        <v>80.570902394106255</v>
      </c>
      <c r="E366" s="11">
        <f t="shared" si="79"/>
        <v>966.85082872927501</v>
      </c>
      <c r="F366" s="14">
        <f t="shared" si="80"/>
        <v>0.26856967464702086</v>
      </c>
      <c r="G366" s="6"/>
      <c r="H366" s="115">
        <f t="shared" si="81"/>
        <v>543.00000000000364</v>
      </c>
      <c r="I366" s="115">
        <f t="shared" si="82"/>
        <v>2715.0000000000182</v>
      </c>
      <c r="J366" s="115">
        <f t="shared" si="83"/>
        <v>16516.250000000113</v>
      </c>
      <c r="K366" s="115">
        <f t="shared" si="84"/>
        <v>130320.00000000087</v>
      </c>
      <c r="L366" s="6"/>
      <c r="M366" s="11">
        <f t="shared" si="85"/>
        <v>9.2081031307550028</v>
      </c>
    </row>
    <row r="367" spans="1:13">
      <c r="A367" s="115">
        <f t="shared" si="75"/>
        <v>36.300000000000246</v>
      </c>
      <c r="B367" s="11">
        <f t="shared" si="76"/>
        <v>4.0174471992653533</v>
      </c>
      <c r="C367" s="13">
        <f t="shared" si="77"/>
        <v>20.087235996326768</v>
      </c>
      <c r="D367" s="11">
        <f t="shared" si="78"/>
        <v>80.348943985307073</v>
      </c>
      <c r="E367" s="11">
        <f t="shared" si="79"/>
        <v>964.18732782368488</v>
      </c>
      <c r="F367" s="14">
        <f t="shared" si="80"/>
        <v>0.2678298132843569</v>
      </c>
      <c r="G367" s="6"/>
      <c r="H367" s="115">
        <f t="shared" si="81"/>
        <v>544.50000000000364</v>
      </c>
      <c r="I367" s="115">
        <f t="shared" si="82"/>
        <v>2722.5000000000182</v>
      </c>
      <c r="J367" s="115">
        <f t="shared" si="83"/>
        <v>16561.875000000113</v>
      </c>
      <c r="K367" s="115">
        <f t="shared" si="84"/>
        <v>130680.00000000087</v>
      </c>
      <c r="L367" s="6"/>
      <c r="M367" s="11">
        <f t="shared" si="85"/>
        <v>9.182736455463667</v>
      </c>
    </row>
    <row r="368" spans="1:13">
      <c r="A368" s="115">
        <f t="shared" si="75"/>
        <v>36.400000000000247</v>
      </c>
      <c r="B368" s="11">
        <f t="shared" si="76"/>
        <v>4.0064102564102289</v>
      </c>
      <c r="C368" s="13">
        <f t="shared" si="77"/>
        <v>20.032051282051142</v>
      </c>
      <c r="D368" s="11">
        <f t="shared" si="78"/>
        <v>80.12820512820457</v>
      </c>
      <c r="E368" s="11">
        <f t="shared" si="79"/>
        <v>961.53846153845484</v>
      </c>
      <c r="F368" s="14">
        <f t="shared" si="80"/>
        <v>0.26709401709401526</v>
      </c>
      <c r="G368" s="6"/>
      <c r="H368" s="115">
        <f t="shared" si="81"/>
        <v>546.00000000000375</v>
      </c>
      <c r="I368" s="115">
        <f t="shared" si="82"/>
        <v>2730.0000000000186</v>
      </c>
      <c r="J368" s="115">
        <f t="shared" si="83"/>
        <v>16607.500000000113</v>
      </c>
      <c r="K368" s="115">
        <f t="shared" si="84"/>
        <v>131040.0000000009</v>
      </c>
      <c r="L368" s="6"/>
      <c r="M368" s="11">
        <f t="shared" si="85"/>
        <v>9.1575091575090948</v>
      </c>
    </row>
    <row r="369" spans="1:13">
      <c r="A369" s="115">
        <f t="shared" si="75"/>
        <v>36.500000000000249</v>
      </c>
      <c r="B369" s="11">
        <f t="shared" si="76"/>
        <v>3.9954337899543102</v>
      </c>
      <c r="C369" s="13">
        <f t="shared" si="77"/>
        <v>19.977168949771553</v>
      </c>
      <c r="D369" s="11">
        <f t="shared" si="78"/>
        <v>79.908675799086211</v>
      </c>
      <c r="E369" s="11">
        <f t="shared" si="79"/>
        <v>958.90410958903453</v>
      </c>
      <c r="F369" s="14">
        <f t="shared" si="80"/>
        <v>0.26636225266362068</v>
      </c>
      <c r="G369" s="6"/>
      <c r="H369" s="115">
        <f t="shared" si="81"/>
        <v>547.50000000000375</v>
      </c>
      <c r="I369" s="115">
        <f t="shared" si="82"/>
        <v>2737.5000000000186</v>
      </c>
      <c r="J369" s="115">
        <f t="shared" si="83"/>
        <v>16653.125000000113</v>
      </c>
      <c r="K369" s="115">
        <f t="shared" si="84"/>
        <v>131400.0000000009</v>
      </c>
      <c r="L369" s="6"/>
      <c r="M369" s="11">
        <f t="shared" si="85"/>
        <v>9.1324200913241391</v>
      </c>
    </row>
    <row r="370" spans="1:13">
      <c r="A370" s="115">
        <f t="shared" si="75"/>
        <v>36.60000000000025</v>
      </c>
      <c r="B370" s="11">
        <f t="shared" si="76"/>
        <v>3.9845173041894077</v>
      </c>
      <c r="C370" s="13">
        <f t="shared" si="77"/>
        <v>19.922586520947039</v>
      </c>
      <c r="D370" s="11">
        <f t="shared" si="78"/>
        <v>79.690346083788157</v>
      </c>
      <c r="E370" s="11">
        <f t="shared" si="79"/>
        <v>956.28415300545794</v>
      </c>
      <c r="F370" s="14">
        <f t="shared" si="80"/>
        <v>0.26563448694596054</v>
      </c>
      <c r="G370" s="6"/>
      <c r="H370" s="115">
        <f t="shared" si="81"/>
        <v>549.00000000000375</v>
      </c>
      <c r="I370" s="115">
        <f t="shared" si="82"/>
        <v>2745.0000000000186</v>
      </c>
      <c r="J370" s="115">
        <f t="shared" si="83"/>
        <v>16698.750000000113</v>
      </c>
      <c r="K370" s="115">
        <f t="shared" si="84"/>
        <v>131760.0000000009</v>
      </c>
      <c r="L370" s="6"/>
      <c r="M370" s="11">
        <f t="shared" si="85"/>
        <v>9.1074681238615049</v>
      </c>
    </row>
    <row r="371" spans="1:13">
      <c r="A371" s="115">
        <f t="shared" si="75"/>
        <v>36.700000000000252</v>
      </c>
      <c r="B371" s="11">
        <f t="shared" si="76"/>
        <v>3.9736603088101448</v>
      </c>
      <c r="C371" s="13">
        <f t="shared" si="77"/>
        <v>19.868301544050723</v>
      </c>
      <c r="D371" s="11">
        <f t="shared" si="78"/>
        <v>79.473206176202893</v>
      </c>
      <c r="E371" s="11">
        <f t="shared" si="79"/>
        <v>953.67847411443472</v>
      </c>
      <c r="F371" s="14">
        <f t="shared" si="80"/>
        <v>0.26491068725400962</v>
      </c>
      <c r="G371" s="6"/>
      <c r="H371" s="115">
        <f t="shared" si="81"/>
        <v>550.50000000000375</v>
      </c>
      <c r="I371" s="115">
        <f t="shared" si="82"/>
        <v>2752.5000000000186</v>
      </c>
      <c r="J371" s="115">
        <f t="shared" si="83"/>
        <v>16744.375000000113</v>
      </c>
      <c r="K371" s="115">
        <f t="shared" si="84"/>
        <v>132120.0000000009</v>
      </c>
      <c r="L371" s="6"/>
      <c r="M371" s="11">
        <f t="shared" si="85"/>
        <v>9.0826521344231903</v>
      </c>
    </row>
    <row r="372" spans="1:13">
      <c r="A372" s="115">
        <f t="shared" si="75"/>
        <v>36.800000000000253</v>
      </c>
      <c r="B372" s="11">
        <f t="shared" si="76"/>
        <v>3.9628623188405521</v>
      </c>
      <c r="C372" s="13">
        <f t="shared" si="77"/>
        <v>19.81431159420276</v>
      </c>
      <c r="D372" s="11">
        <f t="shared" si="78"/>
        <v>79.25724637681104</v>
      </c>
      <c r="E372" s="11">
        <f t="shared" si="79"/>
        <v>951.08695652173242</v>
      </c>
      <c r="F372" s="14">
        <f t="shared" si="80"/>
        <v>0.26419082125603682</v>
      </c>
      <c r="G372" s="6"/>
      <c r="H372" s="115">
        <f t="shared" si="81"/>
        <v>552.00000000000375</v>
      </c>
      <c r="I372" s="115">
        <f t="shared" si="82"/>
        <v>2760.0000000000186</v>
      </c>
      <c r="J372" s="115">
        <f t="shared" si="83"/>
        <v>16790.000000000113</v>
      </c>
      <c r="K372" s="115">
        <f t="shared" si="84"/>
        <v>132480.0000000009</v>
      </c>
      <c r="L372" s="6"/>
      <c r="M372" s="11">
        <f t="shared" si="85"/>
        <v>9.0579710144926917</v>
      </c>
    </row>
    <row r="373" spans="1:13">
      <c r="A373" s="115">
        <f t="shared" si="75"/>
        <v>36.900000000000254</v>
      </c>
      <c r="B373" s="11">
        <f t="shared" si="76"/>
        <v>3.9521228545618512</v>
      </c>
      <c r="C373" s="13">
        <f t="shared" si="77"/>
        <v>19.760614272809256</v>
      </c>
      <c r="D373" s="11">
        <f t="shared" si="78"/>
        <v>79.042457091237026</v>
      </c>
      <c r="E373" s="11">
        <f t="shared" si="79"/>
        <v>948.50948509484431</v>
      </c>
      <c r="F373" s="14">
        <f t="shared" si="80"/>
        <v>0.26347485697079009</v>
      </c>
      <c r="G373" s="6"/>
      <c r="H373" s="115">
        <f t="shared" si="81"/>
        <v>553.50000000000387</v>
      </c>
      <c r="I373" s="115">
        <f t="shared" si="82"/>
        <v>2767.5000000000191</v>
      </c>
      <c r="J373" s="115">
        <f t="shared" si="83"/>
        <v>16835.625000000116</v>
      </c>
      <c r="K373" s="115">
        <f t="shared" si="84"/>
        <v>132840.00000000093</v>
      </c>
      <c r="L373" s="6"/>
      <c r="M373" s="11">
        <f t="shared" si="85"/>
        <v>9.0334236675699451</v>
      </c>
    </row>
    <row r="374" spans="1:13">
      <c r="A374" s="115">
        <f t="shared" si="75"/>
        <v>37.000000000000256</v>
      </c>
      <c r="B374" s="11">
        <f t="shared" si="76"/>
        <v>3.9414414414414138</v>
      </c>
      <c r="C374" s="13">
        <f t="shared" si="77"/>
        <v>19.70720720720707</v>
      </c>
      <c r="D374" s="11">
        <f t="shared" si="78"/>
        <v>78.828828828828279</v>
      </c>
      <c r="E374" s="11">
        <f t="shared" si="79"/>
        <v>945.94594594593934</v>
      </c>
      <c r="F374" s="14">
        <f t="shared" si="80"/>
        <v>0.26276276276276095</v>
      </c>
      <c r="G374" s="6"/>
      <c r="H374" s="115">
        <f t="shared" si="81"/>
        <v>555.00000000000387</v>
      </c>
      <c r="I374" s="115">
        <f t="shared" si="82"/>
        <v>2775.0000000000191</v>
      </c>
      <c r="J374" s="115">
        <f t="shared" si="83"/>
        <v>16881.250000000116</v>
      </c>
      <c r="K374" s="115">
        <f t="shared" si="84"/>
        <v>133200.00000000093</v>
      </c>
      <c r="L374" s="6"/>
      <c r="M374" s="11">
        <f t="shared" si="85"/>
        <v>9.0090090090089454</v>
      </c>
    </row>
    <row r="375" spans="1:13">
      <c r="A375" s="115">
        <f t="shared" si="75"/>
        <v>37.100000000000257</v>
      </c>
      <c r="B375" s="11">
        <f t="shared" si="76"/>
        <v>3.9308176100628653</v>
      </c>
      <c r="C375" s="13">
        <f t="shared" si="77"/>
        <v>19.654088050314328</v>
      </c>
      <c r="D375" s="11">
        <f t="shared" si="78"/>
        <v>78.616352201257314</v>
      </c>
      <c r="E375" s="11">
        <f t="shared" si="79"/>
        <v>943.39622641508777</v>
      </c>
      <c r="F375" s="14">
        <f t="shared" si="80"/>
        <v>0.26205450733752433</v>
      </c>
      <c r="G375" s="6"/>
      <c r="H375" s="115">
        <f t="shared" si="81"/>
        <v>556.50000000000387</v>
      </c>
      <c r="I375" s="115">
        <f t="shared" si="82"/>
        <v>2782.5000000000191</v>
      </c>
      <c r="J375" s="115">
        <f t="shared" si="83"/>
        <v>16926.875000000116</v>
      </c>
      <c r="K375" s="115">
        <f t="shared" si="84"/>
        <v>133560.00000000093</v>
      </c>
      <c r="L375" s="6"/>
      <c r="M375" s="11">
        <f t="shared" si="85"/>
        <v>8.9847259658579794</v>
      </c>
    </row>
    <row r="376" spans="1:13">
      <c r="A376" s="115">
        <f t="shared" si="75"/>
        <v>37.200000000000259</v>
      </c>
      <c r="B376" s="11">
        <f t="shared" si="76"/>
        <v>3.9202508960573197</v>
      </c>
      <c r="C376" s="13">
        <f t="shared" si="77"/>
        <v>19.601254480286599</v>
      </c>
      <c r="D376" s="11">
        <f t="shared" si="78"/>
        <v>78.405017921146396</v>
      </c>
      <c r="E376" s="11">
        <f t="shared" si="79"/>
        <v>940.86021505375675</v>
      </c>
      <c r="F376" s="14">
        <f t="shared" si="80"/>
        <v>0.26135005973715464</v>
      </c>
      <c r="G376" s="6"/>
      <c r="H376" s="115">
        <f t="shared" si="81"/>
        <v>558.00000000000387</v>
      </c>
      <c r="I376" s="115">
        <f t="shared" si="82"/>
        <v>2790.0000000000191</v>
      </c>
      <c r="J376" s="115">
        <f t="shared" si="83"/>
        <v>16972.500000000116</v>
      </c>
      <c r="K376" s="115">
        <f t="shared" si="84"/>
        <v>133920.00000000093</v>
      </c>
      <c r="L376" s="6"/>
      <c r="M376" s="11">
        <f t="shared" si="85"/>
        <v>8.9605734767024465</v>
      </c>
    </row>
    <row r="377" spans="1:13">
      <c r="A377" s="115">
        <f t="shared" si="75"/>
        <v>37.30000000000026</v>
      </c>
      <c r="B377" s="11">
        <f t="shared" si="76"/>
        <v>3.9097408400357185</v>
      </c>
      <c r="C377" s="13">
        <f t="shared" si="77"/>
        <v>19.548704200178591</v>
      </c>
      <c r="D377" s="11">
        <f t="shared" si="78"/>
        <v>78.194816800714364</v>
      </c>
      <c r="E377" s="11">
        <f t="shared" si="79"/>
        <v>938.33780160857236</v>
      </c>
      <c r="F377" s="14">
        <f t="shared" si="80"/>
        <v>0.26064938933571458</v>
      </c>
      <c r="G377" s="6"/>
      <c r="H377" s="115">
        <f t="shared" si="81"/>
        <v>559.50000000000387</v>
      </c>
      <c r="I377" s="115">
        <f t="shared" si="82"/>
        <v>2797.5000000000191</v>
      </c>
      <c r="J377" s="115">
        <f t="shared" si="83"/>
        <v>17018.125000000116</v>
      </c>
      <c r="K377" s="115">
        <f t="shared" si="84"/>
        <v>134280.00000000093</v>
      </c>
      <c r="L377" s="6"/>
      <c r="M377" s="11">
        <f t="shared" si="85"/>
        <v>8.9365504915102161</v>
      </c>
    </row>
    <row r="378" spans="1:13">
      <c r="A378" s="115">
        <f t="shared" si="75"/>
        <v>37.400000000000261</v>
      </c>
      <c r="B378" s="11">
        <f t="shared" si="76"/>
        <v>3.8992869875222538</v>
      </c>
      <c r="C378" s="13">
        <f t="shared" si="77"/>
        <v>19.496434937611269</v>
      </c>
      <c r="D378" s="11">
        <f t="shared" si="78"/>
        <v>77.985739750445077</v>
      </c>
      <c r="E378" s="11">
        <f t="shared" si="79"/>
        <v>935.82887700534093</v>
      </c>
      <c r="F378" s="14">
        <f t="shared" si="80"/>
        <v>0.2599524658348169</v>
      </c>
      <c r="G378" s="6"/>
      <c r="H378" s="115">
        <f t="shared" si="81"/>
        <v>561.00000000000387</v>
      </c>
      <c r="I378" s="115">
        <f t="shared" si="82"/>
        <v>2805.0000000000191</v>
      </c>
      <c r="J378" s="115">
        <f t="shared" si="83"/>
        <v>17063.750000000116</v>
      </c>
      <c r="K378" s="115">
        <f t="shared" si="84"/>
        <v>134640.00000000093</v>
      </c>
      <c r="L378" s="6"/>
      <c r="M378" s="11">
        <f t="shared" si="85"/>
        <v>8.91265597147944</v>
      </c>
    </row>
    <row r="379" spans="1:13">
      <c r="A379" s="115">
        <f t="shared" si="75"/>
        <v>37.500000000000263</v>
      </c>
      <c r="B379" s="11">
        <f t="shared" si="76"/>
        <v>3.8888888888888613</v>
      </c>
      <c r="C379" s="13">
        <f t="shared" si="77"/>
        <v>19.444444444444308</v>
      </c>
      <c r="D379" s="11">
        <f t="shared" si="78"/>
        <v>77.777777777777231</v>
      </c>
      <c r="E379" s="11">
        <f t="shared" si="79"/>
        <v>933.33333333332678</v>
      </c>
      <c r="F379" s="14">
        <f t="shared" si="80"/>
        <v>0.25925925925925741</v>
      </c>
      <c r="G379" s="6"/>
      <c r="H379" s="115">
        <f t="shared" si="81"/>
        <v>562.50000000000398</v>
      </c>
      <c r="I379" s="115">
        <f t="shared" si="82"/>
        <v>2812.50000000002</v>
      </c>
      <c r="J379" s="115">
        <f t="shared" si="83"/>
        <v>17109.37500000012</v>
      </c>
      <c r="K379" s="115">
        <f t="shared" si="84"/>
        <v>135000.00000000096</v>
      </c>
      <c r="L379" s="6"/>
      <c r="M379" s="11">
        <f t="shared" si="85"/>
        <v>8.8888888888888253</v>
      </c>
    </row>
    <row r="380" spans="1:13">
      <c r="A380" s="115">
        <f t="shared" si="75"/>
        <v>37.600000000000264</v>
      </c>
      <c r="B380" s="11">
        <f t="shared" si="76"/>
        <v>3.8785460992907526</v>
      </c>
      <c r="C380" s="13">
        <f t="shared" si="77"/>
        <v>19.392730496453762</v>
      </c>
      <c r="D380" s="11">
        <f t="shared" si="78"/>
        <v>77.570921985815048</v>
      </c>
      <c r="E380" s="11">
        <f t="shared" si="79"/>
        <v>930.85106382978051</v>
      </c>
      <c r="F380" s="14">
        <f t="shared" si="80"/>
        <v>0.25856973995271681</v>
      </c>
      <c r="G380" s="6"/>
      <c r="H380" s="115">
        <f t="shared" si="81"/>
        <v>564.00000000000398</v>
      </c>
      <c r="I380" s="115">
        <f t="shared" si="82"/>
        <v>2820.00000000002</v>
      </c>
      <c r="J380" s="115">
        <f t="shared" si="83"/>
        <v>17155.00000000012</v>
      </c>
      <c r="K380" s="115">
        <f t="shared" si="84"/>
        <v>135360.00000000096</v>
      </c>
      <c r="L380" s="6"/>
      <c r="M380" s="11">
        <f t="shared" si="85"/>
        <v>8.8652482269502926</v>
      </c>
    </row>
    <row r="381" spans="1:13">
      <c r="A381" s="115">
        <f t="shared" si="75"/>
        <v>37.700000000000266</v>
      </c>
      <c r="B381" s="11">
        <f t="shared" si="76"/>
        <v>3.8682581786029786</v>
      </c>
      <c r="C381" s="13">
        <f t="shared" si="77"/>
        <v>19.341290893014893</v>
      </c>
      <c r="D381" s="11">
        <f t="shared" si="78"/>
        <v>77.365163572059572</v>
      </c>
      <c r="E381" s="11">
        <f t="shared" si="79"/>
        <v>928.38196286471486</v>
      </c>
      <c r="F381" s="14">
        <f t="shared" si="80"/>
        <v>0.2578838785735319</v>
      </c>
      <c r="G381" s="6"/>
      <c r="H381" s="115">
        <f t="shared" si="81"/>
        <v>565.50000000000398</v>
      </c>
      <c r="I381" s="115">
        <f t="shared" si="82"/>
        <v>2827.50000000002</v>
      </c>
      <c r="J381" s="115">
        <f t="shared" si="83"/>
        <v>17200.62500000012</v>
      </c>
      <c r="K381" s="115">
        <f t="shared" si="84"/>
        <v>135720.00000000096</v>
      </c>
      <c r="L381" s="6"/>
      <c r="M381" s="11">
        <f t="shared" si="85"/>
        <v>8.8417329796639521</v>
      </c>
    </row>
    <row r="382" spans="1:13">
      <c r="A382" s="115">
        <f t="shared" ref="A382:A430" si="86">A381+0.1</f>
        <v>37.800000000000267</v>
      </c>
      <c r="B382" s="11">
        <f t="shared" si="76"/>
        <v>3.858024691357997</v>
      </c>
      <c r="C382" s="13">
        <f t="shared" si="77"/>
        <v>19.290123456789985</v>
      </c>
      <c r="D382" s="11">
        <f t="shared" si="78"/>
        <v>77.160493827159939</v>
      </c>
      <c r="E382" s="11">
        <f t="shared" si="79"/>
        <v>925.92592592591927</v>
      </c>
      <c r="F382" s="14">
        <f t="shared" si="80"/>
        <v>0.25720164609053314</v>
      </c>
      <c r="G382" s="6"/>
      <c r="H382" s="115">
        <f t="shared" si="81"/>
        <v>567.00000000000398</v>
      </c>
      <c r="I382" s="115">
        <f t="shared" si="82"/>
        <v>2835.00000000002</v>
      </c>
      <c r="J382" s="115">
        <f t="shared" si="83"/>
        <v>17246.25000000012</v>
      </c>
      <c r="K382" s="115">
        <f t="shared" si="84"/>
        <v>136080.00000000096</v>
      </c>
      <c r="L382" s="6"/>
      <c r="M382" s="11">
        <f t="shared" si="85"/>
        <v>8.8183421516754237</v>
      </c>
    </row>
    <row r="383" spans="1:13">
      <c r="A383" s="115">
        <f t="shared" si="86"/>
        <v>37.900000000000269</v>
      </c>
      <c r="B383" s="11">
        <f t="shared" si="76"/>
        <v>3.8478452066842292</v>
      </c>
      <c r="C383" s="13">
        <f t="shared" si="77"/>
        <v>19.239226033421147</v>
      </c>
      <c r="D383" s="11">
        <f t="shared" si="78"/>
        <v>76.956904133684588</v>
      </c>
      <c r="E383" s="11">
        <f t="shared" si="79"/>
        <v>923.48284960421506</v>
      </c>
      <c r="F383" s="14">
        <f t="shared" si="80"/>
        <v>0.25652301377894859</v>
      </c>
      <c r="G383" s="6"/>
      <c r="H383" s="115">
        <f t="shared" si="81"/>
        <v>568.50000000000398</v>
      </c>
      <c r="I383" s="115">
        <f t="shared" si="82"/>
        <v>2842.50000000002</v>
      </c>
      <c r="J383" s="115">
        <f t="shared" si="83"/>
        <v>17291.87500000012</v>
      </c>
      <c r="K383" s="115">
        <f t="shared" si="84"/>
        <v>136440.00000000096</v>
      </c>
      <c r="L383" s="6"/>
      <c r="M383" s="11">
        <f t="shared" si="85"/>
        <v>8.7950747581353834</v>
      </c>
    </row>
    <row r="384" spans="1:13">
      <c r="A384" s="115">
        <f t="shared" si="86"/>
        <v>38.00000000000027</v>
      </c>
      <c r="B384" s="11">
        <f t="shared" si="76"/>
        <v>3.8377192982455863</v>
      </c>
      <c r="C384" s="13">
        <f t="shared" si="77"/>
        <v>19.188596491227933</v>
      </c>
      <c r="D384" s="11">
        <f t="shared" si="78"/>
        <v>76.754385964911734</v>
      </c>
      <c r="E384" s="11">
        <f t="shared" si="79"/>
        <v>921.0526315789408</v>
      </c>
      <c r="F384" s="14">
        <f t="shared" si="80"/>
        <v>0.25584795321637244</v>
      </c>
      <c r="G384" s="6"/>
      <c r="H384" s="115">
        <f t="shared" si="81"/>
        <v>570.00000000000409</v>
      </c>
      <c r="I384" s="115">
        <f t="shared" si="82"/>
        <v>2850.0000000000205</v>
      </c>
      <c r="J384" s="115">
        <f t="shared" si="83"/>
        <v>17337.500000000124</v>
      </c>
      <c r="K384" s="115">
        <f t="shared" si="84"/>
        <v>136800.00000000099</v>
      </c>
      <c r="L384" s="6"/>
      <c r="M384" s="11">
        <f t="shared" si="85"/>
        <v>8.7719298245613402</v>
      </c>
    </row>
    <row r="385" spans="1:13">
      <c r="A385" s="115">
        <f t="shared" si="86"/>
        <v>38.100000000000271</v>
      </c>
      <c r="B385" s="11">
        <f t="shared" si="76"/>
        <v>3.8276465441819494</v>
      </c>
      <c r="C385" s="13">
        <f t="shared" si="77"/>
        <v>19.138232720909748</v>
      </c>
      <c r="D385" s="11">
        <f t="shared" si="78"/>
        <v>76.552930883638993</v>
      </c>
      <c r="E385" s="11">
        <f t="shared" si="79"/>
        <v>918.63517060366792</v>
      </c>
      <c r="F385" s="14">
        <f t="shared" si="80"/>
        <v>0.2551764362787966</v>
      </c>
      <c r="G385" s="6"/>
      <c r="H385" s="115">
        <f t="shared" si="81"/>
        <v>571.50000000000409</v>
      </c>
      <c r="I385" s="115">
        <f t="shared" si="82"/>
        <v>2857.5000000000205</v>
      </c>
      <c r="J385" s="115">
        <f t="shared" si="83"/>
        <v>17383.125000000124</v>
      </c>
      <c r="K385" s="115">
        <f t="shared" si="84"/>
        <v>137160.00000000099</v>
      </c>
      <c r="L385" s="6"/>
      <c r="M385" s="11">
        <f t="shared" si="85"/>
        <v>8.7489063867016004</v>
      </c>
    </row>
    <row r="386" spans="1:13">
      <c r="A386" s="115">
        <f t="shared" si="86"/>
        <v>38.200000000000273</v>
      </c>
      <c r="B386" s="11">
        <f t="shared" ref="B386:B430" si="87">$B$3/A386</f>
        <v>3.8176265270505829</v>
      </c>
      <c r="C386" s="13">
        <f t="shared" ref="C386:C430" si="88">B386*5</f>
        <v>19.088132635252915</v>
      </c>
      <c r="D386" s="11">
        <f t="shared" ref="D386:D430" si="89">E386/12</f>
        <v>76.35253054101166</v>
      </c>
      <c r="E386" s="11">
        <f t="shared" ref="E386:E430" si="90">C386*48</f>
        <v>916.23036649213986</v>
      </c>
      <c r="F386" s="14">
        <f t="shared" ref="F386:F430" si="91">B386/$I$2</f>
        <v>0.25450843513670551</v>
      </c>
      <c r="G386" s="6"/>
      <c r="H386" s="115">
        <f t="shared" ref="H386:H430" si="92">A386*$I$2</f>
        <v>573.00000000000409</v>
      </c>
      <c r="I386" s="115">
        <f t="shared" ref="I386:I430" si="93">H386*5</f>
        <v>2865.0000000000205</v>
      </c>
      <c r="J386" s="115">
        <f t="shared" ref="J386:J430" si="94">H386*365/12</f>
        <v>17428.750000000124</v>
      </c>
      <c r="K386" s="115">
        <f t="shared" ref="K386:K430" si="95">I386*48</f>
        <v>137520.00000000099</v>
      </c>
      <c r="L386" s="6"/>
      <c r="M386" s="11">
        <f t="shared" ref="M386:M430" si="96">$H$1/H386</f>
        <v>8.7260034904013342</v>
      </c>
    </row>
    <row r="387" spans="1:13">
      <c r="A387" s="115">
        <f t="shared" si="86"/>
        <v>38.300000000000274</v>
      </c>
      <c r="B387" s="11">
        <f t="shared" si="87"/>
        <v>3.8076588337684667</v>
      </c>
      <c r="C387" s="13">
        <f t="shared" si="88"/>
        <v>19.038294168842334</v>
      </c>
      <c r="D387" s="11">
        <f t="shared" si="89"/>
        <v>76.153176675369338</v>
      </c>
      <c r="E387" s="11">
        <f t="shared" si="90"/>
        <v>913.83812010443205</v>
      </c>
      <c r="F387" s="14">
        <f t="shared" si="91"/>
        <v>0.25384392225123109</v>
      </c>
      <c r="G387" s="6"/>
      <c r="H387" s="115">
        <f t="shared" si="92"/>
        <v>574.50000000000409</v>
      </c>
      <c r="I387" s="115">
        <f t="shared" si="93"/>
        <v>2872.5000000000205</v>
      </c>
      <c r="J387" s="115">
        <f t="shared" si="94"/>
        <v>17474.375000000124</v>
      </c>
      <c r="K387" s="115">
        <f t="shared" si="95"/>
        <v>137880.00000000099</v>
      </c>
      <c r="L387" s="6"/>
      <c r="M387" s="11">
        <f t="shared" si="96"/>
        <v>8.7032201914707823</v>
      </c>
    </row>
    <row r="388" spans="1:13">
      <c r="A388" s="115">
        <f t="shared" si="86"/>
        <v>38.400000000000276</v>
      </c>
      <c r="B388" s="11">
        <f t="shared" si="87"/>
        <v>3.7977430555555278</v>
      </c>
      <c r="C388" s="13">
        <f t="shared" si="88"/>
        <v>18.98871527777764</v>
      </c>
      <c r="D388" s="11">
        <f t="shared" si="89"/>
        <v>75.95486111111056</v>
      </c>
      <c r="E388" s="11">
        <f t="shared" si="90"/>
        <v>911.45833333332666</v>
      </c>
      <c r="F388" s="14">
        <f t="shared" si="91"/>
        <v>0.25318287037036852</v>
      </c>
      <c r="G388" s="6"/>
      <c r="H388" s="115">
        <f t="shared" si="92"/>
        <v>576.00000000000409</v>
      </c>
      <c r="I388" s="115">
        <f t="shared" si="93"/>
        <v>2880.0000000000205</v>
      </c>
      <c r="J388" s="115">
        <f t="shared" si="94"/>
        <v>17520.000000000124</v>
      </c>
      <c r="K388" s="115">
        <f t="shared" si="95"/>
        <v>138240.00000000099</v>
      </c>
      <c r="L388" s="6"/>
      <c r="M388" s="11">
        <f t="shared" si="96"/>
        <v>8.6805555555554932</v>
      </c>
    </row>
    <row r="389" spans="1:13">
      <c r="A389" s="115">
        <f t="shared" si="86"/>
        <v>38.500000000000277</v>
      </c>
      <c r="B389" s="11">
        <f t="shared" si="87"/>
        <v>3.7878787878787601</v>
      </c>
      <c r="C389" s="13">
        <f t="shared" si="88"/>
        <v>18.939393939393799</v>
      </c>
      <c r="D389" s="11">
        <f t="shared" si="89"/>
        <v>75.757575757575196</v>
      </c>
      <c r="E389" s="11">
        <f t="shared" si="90"/>
        <v>909.09090909090241</v>
      </c>
      <c r="F389" s="14">
        <f t="shared" si="91"/>
        <v>0.25252525252525065</v>
      </c>
      <c r="G389" s="6"/>
      <c r="H389" s="115">
        <f t="shared" si="92"/>
        <v>577.50000000000421</v>
      </c>
      <c r="I389" s="115">
        <f t="shared" si="93"/>
        <v>2887.5000000000209</v>
      </c>
      <c r="J389" s="115">
        <f t="shared" si="94"/>
        <v>17565.625000000127</v>
      </c>
      <c r="K389" s="115">
        <f t="shared" si="95"/>
        <v>138600.00000000099</v>
      </c>
      <c r="L389" s="6"/>
      <c r="M389" s="11">
        <f t="shared" si="96"/>
        <v>8.6580086580085958</v>
      </c>
    </row>
    <row r="390" spans="1:13">
      <c r="A390" s="115">
        <f t="shared" si="86"/>
        <v>38.600000000000279</v>
      </c>
      <c r="B390" s="11">
        <f t="shared" si="87"/>
        <v>3.7780656303972089</v>
      </c>
      <c r="C390" s="13">
        <f t="shared" si="88"/>
        <v>18.890328151986044</v>
      </c>
      <c r="D390" s="11">
        <f t="shared" si="89"/>
        <v>75.561312607944174</v>
      </c>
      <c r="E390" s="11">
        <f t="shared" si="90"/>
        <v>906.73575129533015</v>
      </c>
      <c r="F390" s="14">
        <f t="shared" si="91"/>
        <v>0.25187104202648058</v>
      </c>
      <c r="G390" s="6"/>
      <c r="H390" s="115">
        <f t="shared" si="92"/>
        <v>579.00000000000421</v>
      </c>
      <c r="I390" s="115">
        <f t="shared" si="93"/>
        <v>2895.0000000000209</v>
      </c>
      <c r="J390" s="115">
        <f t="shared" si="94"/>
        <v>17611.250000000127</v>
      </c>
      <c r="K390" s="115">
        <f t="shared" si="95"/>
        <v>138960.00000000099</v>
      </c>
      <c r="L390" s="6"/>
      <c r="M390" s="11">
        <f t="shared" si="96"/>
        <v>8.6355785837650494</v>
      </c>
    </row>
    <row r="391" spans="1:13">
      <c r="A391" s="115">
        <f t="shared" si="86"/>
        <v>38.70000000000028</v>
      </c>
      <c r="B391" s="11">
        <f t="shared" si="87"/>
        <v>3.7683031869078105</v>
      </c>
      <c r="C391" s="13">
        <f t="shared" si="88"/>
        <v>18.841515934539053</v>
      </c>
      <c r="D391" s="11">
        <f t="shared" si="89"/>
        <v>75.366063738156214</v>
      </c>
      <c r="E391" s="11">
        <f t="shared" si="90"/>
        <v>904.39276485787457</v>
      </c>
      <c r="F391" s="14">
        <f t="shared" si="91"/>
        <v>0.25122021246052068</v>
      </c>
      <c r="G391" s="6"/>
      <c r="H391" s="115">
        <f t="shared" si="92"/>
        <v>580.50000000000421</v>
      </c>
      <c r="I391" s="115">
        <f t="shared" si="93"/>
        <v>2902.5000000000209</v>
      </c>
      <c r="J391" s="115">
        <f t="shared" si="94"/>
        <v>17656.875000000127</v>
      </c>
      <c r="K391" s="115">
        <f t="shared" si="95"/>
        <v>139320.00000000099</v>
      </c>
      <c r="L391" s="6"/>
      <c r="M391" s="11">
        <f t="shared" si="96"/>
        <v>8.6132644272178531</v>
      </c>
    </row>
    <row r="392" spans="1:13">
      <c r="A392" s="115">
        <f t="shared" si="86"/>
        <v>38.800000000000281</v>
      </c>
      <c r="B392" s="11">
        <f t="shared" si="87"/>
        <v>3.7585910652920687</v>
      </c>
      <c r="C392" s="13">
        <f t="shared" si="88"/>
        <v>18.792955326460344</v>
      </c>
      <c r="D392" s="11">
        <f t="shared" si="89"/>
        <v>75.171821305841377</v>
      </c>
      <c r="E392" s="11">
        <f t="shared" si="90"/>
        <v>902.06185567009652</v>
      </c>
      <c r="F392" s="14">
        <f t="shared" si="91"/>
        <v>0.25057273768613791</v>
      </c>
      <c r="G392" s="6"/>
      <c r="H392" s="115">
        <f t="shared" si="92"/>
        <v>582.00000000000421</v>
      </c>
      <c r="I392" s="115">
        <f t="shared" si="93"/>
        <v>2910.0000000000209</v>
      </c>
      <c r="J392" s="115">
        <f t="shared" si="94"/>
        <v>17702.500000000127</v>
      </c>
      <c r="K392" s="115">
        <f t="shared" si="95"/>
        <v>139680.00000000099</v>
      </c>
      <c r="L392" s="6"/>
      <c r="M392" s="11">
        <f t="shared" si="96"/>
        <v>8.5910652920961574</v>
      </c>
    </row>
    <row r="393" spans="1:13">
      <c r="A393" s="115">
        <f t="shared" si="86"/>
        <v>38.900000000000283</v>
      </c>
      <c r="B393" s="11">
        <f t="shared" si="87"/>
        <v>3.7489288774635541</v>
      </c>
      <c r="C393" s="13">
        <f t="shared" si="88"/>
        <v>18.74464438731777</v>
      </c>
      <c r="D393" s="11">
        <f t="shared" si="89"/>
        <v>74.97857754927108</v>
      </c>
      <c r="E393" s="11">
        <f t="shared" si="90"/>
        <v>899.74293059125296</v>
      </c>
      <c r="F393" s="14">
        <f t="shared" si="91"/>
        <v>0.2499285918309036</v>
      </c>
      <c r="G393" s="6"/>
      <c r="H393" s="115">
        <f t="shared" si="92"/>
        <v>583.50000000000421</v>
      </c>
      <c r="I393" s="115">
        <f t="shared" si="93"/>
        <v>2917.5000000000209</v>
      </c>
      <c r="J393" s="115">
        <f t="shared" si="94"/>
        <v>17748.125000000127</v>
      </c>
      <c r="K393" s="115">
        <f t="shared" si="95"/>
        <v>140040.00000000099</v>
      </c>
      <c r="L393" s="6"/>
      <c r="M393" s="11">
        <f t="shared" si="96"/>
        <v>8.5689802913452677</v>
      </c>
    </row>
    <row r="394" spans="1:13">
      <c r="A394" s="115">
        <f t="shared" si="86"/>
        <v>39.000000000000284</v>
      </c>
      <c r="B394" s="11">
        <f t="shared" si="87"/>
        <v>3.7393162393162114</v>
      </c>
      <c r="C394" s="13">
        <f t="shared" si="88"/>
        <v>18.696581196581057</v>
      </c>
      <c r="D394" s="11">
        <f t="shared" si="89"/>
        <v>74.786324786324229</v>
      </c>
      <c r="E394" s="11">
        <f t="shared" si="90"/>
        <v>897.43589743589075</v>
      </c>
      <c r="F394" s="14">
        <f t="shared" si="91"/>
        <v>0.24928774928774741</v>
      </c>
      <c r="G394" s="6"/>
      <c r="H394" s="115">
        <f t="shared" si="92"/>
        <v>585.00000000000432</v>
      </c>
      <c r="I394" s="115">
        <f t="shared" si="93"/>
        <v>2925.0000000000218</v>
      </c>
      <c r="J394" s="115">
        <f t="shared" si="94"/>
        <v>17793.750000000131</v>
      </c>
      <c r="K394" s="115">
        <f t="shared" si="95"/>
        <v>140400.00000000105</v>
      </c>
      <c r="L394" s="6"/>
      <c r="M394" s="11">
        <f t="shared" si="96"/>
        <v>8.5470085470084847</v>
      </c>
    </row>
    <row r="395" spans="1:13">
      <c r="A395" s="115">
        <f t="shared" si="86"/>
        <v>39.100000000000286</v>
      </c>
      <c r="B395" s="11">
        <f t="shared" si="87"/>
        <v>3.7297527706734592</v>
      </c>
      <c r="C395" s="13">
        <f t="shared" si="88"/>
        <v>18.648763853367296</v>
      </c>
      <c r="D395" s="11">
        <f t="shared" si="89"/>
        <v>74.595055413469183</v>
      </c>
      <c r="E395" s="11">
        <f t="shared" si="90"/>
        <v>895.14066496163014</v>
      </c>
      <c r="F395" s="14">
        <f t="shared" si="91"/>
        <v>0.24865018471156394</v>
      </c>
      <c r="G395" s="6"/>
      <c r="H395" s="115">
        <f t="shared" si="92"/>
        <v>586.50000000000432</v>
      </c>
      <c r="I395" s="115">
        <f t="shared" si="93"/>
        <v>2932.5000000000218</v>
      </c>
      <c r="J395" s="115">
        <f t="shared" si="94"/>
        <v>17839.375000000131</v>
      </c>
      <c r="K395" s="115">
        <f t="shared" si="95"/>
        <v>140760.00000000105</v>
      </c>
      <c r="L395" s="6"/>
      <c r="M395" s="11">
        <f t="shared" si="96"/>
        <v>8.5251491901107634</v>
      </c>
    </row>
    <row r="396" spans="1:13">
      <c r="A396" s="115">
        <f t="shared" si="86"/>
        <v>39.200000000000287</v>
      </c>
      <c r="B396" s="11">
        <f t="shared" si="87"/>
        <v>3.7202380952380674</v>
      </c>
      <c r="C396" s="13">
        <f t="shared" si="88"/>
        <v>18.601190476190336</v>
      </c>
      <c r="D396" s="11">
        <f t="shared" si="89"/>
        <v>74.404761904761344</v>
      </c>
      <c r="E396" s="11">
        <f t="shared" si="90"/>
        <v>892.85714285713607</v>
      </c>
      <c r="F396" s="14">
        <f t="shared" si="91"/>
        <v>0.24801587301587116</v>
      </c>
      <c r="G396" s="6"/>
      <c r="H396" s="115">
        <f t="shared" si="92"/>
        <v>588.00000000000432</v>
      </c>
      <c r="I396" s="115">
        <f t="shared" si="93"/>
        <v>2940.0000000000218</v>
      </c>
      <c r="J396" s="115">
        <f t="shared" si="94"/>
        <v>17885.000000000131</v>
      </c>
      <c r="K396" s="115">
        <f t="shared" si="95"/>
        <v>141120.00000000105</v>
      </c>
      <c r="L396" s="6"/>
      <c r="M396" s="11">
        <f t="shared" si="96"/>
        <v>8.5034013605441547</v>
      </c>
    </row>
    <row r="397" spans="1:13">
      <c r="A397" s="115">
        <f t="shared" si="86"/>
        <v>39.300000000000288</v>
      </c>
      <c r="B397" s="11">
        <f t="shared" si="87"/>
        <v>3.7107718405428054</v>
      </c>
      <c r="C397" s="13">
        <f t="shared" si="88"/>
        <v>18.553859202714026</v>
      </c>
      <c r="D397" s="11">
        <f t="shared" si="89"/>
        <v>74.215436810856104</v>
      </c>
      <c r="E397" s="11">
        <f t="shared" si="90"/>
        <v>890.58524173027331</v>
      </c>
      <c r="F397" s="14">
        <f t="shared" si="91"/>
        <v>0.24738478936952035</v>
      </c>
      <c r="G397" s="6"/>
      <c r="H397" s="115">
        <f t="shared" si="92"/>
        <v>589.50000000000432</v>
      </c>
      <c r="I397" s="115">
        <f t="shared" si="93"/>
        <v>2947.5000000000218</v>
      </c>
      <c r="J397" s="115">
        <f t="shared" si="94"/>
        <v>17930.625000000131</v>
      </c>
      <c r="K397" s="115">
        <f t="shared" si="95"/>
        <v>141480.00000000105</v>
      </c>
      <c r="L397" s="6"/>
      <c r="M397" s="11">
        <f t="shared" si="96"/>
        <v>8.4817642069549848</v>
      </c>
    </row>
    <row r="398" spans="1:13">
      <c r="A398" s="115">
        <f t="shared" si="86"/>
        <v>39.40000000000029</v>
      </c>
      <c r="B398" s="11">
        <f t="shared" si="87"/>
        <v>3.7013536379018337</v>
      </c>
      <c r="C398" s="13">
        <f t="shared" si="88"/>
        <v>18.506768189509167</v>
      </c>
      <c r="D398" s="11">
        <f t="shared" si="89"/>
        <v>74.027072758036667</v>
      </c>
      <c r="E398" s="11">
        <f t="shared" si="90"/>
        <v>888.32487309644</v>
      </c>
      <c r="F398" s="14">
        <f t="shared" si="91"/>
        <v>0.24675690919345558</v>
      </c>
      <c r="G398" s="6"/>
      <c r="H398" s="115">
        <f t="shared" si="92"/>
        <v>591.00000000000432</v>
      </c>
      <c r="I398" s="115">
        <f t="shared" si="93"/>
        <v>2955.0000000000218</v>
      </c>
      <c r="J398" s="115">
        <f t="shared" si="94"/>
        <v>17976.250000000131</v>
      </c>
      <c r="K398" s="115">
        <f t="shared" si="95"/>
        <v>141840.00000000105</v>
      </c>
      <c r="L398" s="6"/>
      <c r="M398" s="11">
        <f t="shared" si="96"/>
        <v>8.4602368866327637</v>
      </c>
    </row>
    <row r="399" spans="1:13">
      <c r="A399" s="115">
        <f t="shared" si="86"/>
        <v>39.500000000000291</v>
      </c>
      <c r="B399" s="11">
        <f t="shared" si="87"/>
        <v>3.6919831223628417</v>
      </c>
      <c r="C399" s="13">
        <f t="shared" si="88"/>
        <v>18.459915611814207</v>
      </c>
      <c r="D399" s="11">
        <f t="shared" si="89"/>
        <v>73.839662447256828</v>
      </c>
      <c r="E399" s="11">
        <f t="shared" si="90"/>
        <v>886.07594936708188</v>
      </c>
      <c r="F399" s="14">
        <f t="shared" si="91"/>
        <v>0.24613220815752276</v>
      </c>
      <c r="G399" s="6"/>
      <c r="H399" s="115">
        <f t="shared" si="92"/>
        <v>592.50000000000432</v>
      </c>
      <c r="I399" s="115">
        <f t="shared" si="93"/>
        <v>2962.5000000000218</v>
      </c>
      <c r="J399" s="115">
        <f t="shared" si="94"/>
        <v>18021.875000000131</v>
      </c>
      <c r="K399" s="115">
        <f t="shared" si="95"/>
        <v>142200.00000000105</v>
      </c>
      <c r="L399" s="6"/>
      <c r="M399" s="11">
        <f t="shared" si="96"/>
        <v>8.4388185654007817</v>
      </c>
    </row>
    <row r="400" spans="1:13">
      <c r="A400" s="115">
        <f t="shared" si="86"/>
        <v>39.600000000000293</v>
      </c>
      <c r="B400" s="11">
        <f t="shared" si="87"/>
        <v>3.682659932659905</v>
      </c>
      <c r="C400" s="13">
        <f t="shared" si="88"/>
        <v>18.413299663299526</v>
      </c>
      <c r="D400" s="11">
        <f t="shared" si="89"/>
        <v>73.653198653198103</v>
      </c>
      <c r="E400" s="11">
        <f t="shared" si="90"/>
        <v>883.83838383837724</v>
      </c>
      <c r="F400" s="14">
        <f t="shared" si="91"/>
        <v>0.245510662177327</v>
      </c>
      <c r="G400" s="6"/>
      <c r="H400" s="115">
        <f t="shared" si="92"/>
        <v>594.00000000000443</v>
      </c>
      <c r="I400" s="115">
        <f t="shared" si="93"/>
        <v>2970.0000000000223</v>
      </c>
      <c r="J400" s="115">
        <f t="shared" si="94"/>
        <v>18067.500000000135</v>
      </c>
      <c r="K400" s="115">
        <f t="shared" si="95"/>
        <v>142560.00000000108</v>
      </c>
      <c r="L400" s="6"/>
      <c r="M400" s="11">
        <f t="shared" si="96"/>
        <v>8.4175084175083548</v>
      </c>
    </row>
    <row r="401" spans="1:13">
      <c r="A401" s="115">
        <f t="shared" si="86"/>
        <v>39.700000000000294</v>
      </c>
      <c r="B401" s="11">
        <f t="shared" si="87"/>
        <v>3.6733837111670589</v>
      </c>
      <c r="C401" s="13">
        <f t="shared" si="88"/>
        <v>18.366918555835294</v>
      </c>
      <c r="D401" s="11">
        <f t="shared" si="89"/>
        <v>73.467674223341177</v>
      </c>
      <c r="E401" s="11">
        <f t="shared" si="90"/>
        <v>881.61209068009407</v>
      </c>
      <c r="F401" s="14">
        <f t="shared" si="91"/>
        <v>0.24489224741113727</v>
      </c>
      <c r="G401" s="6"/>
      <c r="H401" s="115">
        <f t="shared" si="92"/>
        <v>595.50000000000443</v>
      </c>
      <c r="I401" s="115">
        <f t="shared" si="93"/>
        <v>2977.5000000000223</v>
      </c>
      <c r="J401" s="115">
        <f t="shared" si="94"/>
        <v>18113.125000000135</v>
      </c>
      <c r="K401" s="115">
        <f t="shared" si="95"/>
        <v>142920.00000000108</v>
      </c>
      <c r="L401" s="6"/>
      <c r="M401" s="11">
        <f t="shared" si="96"/>
        <v>8.3963056255247057</v>
      </c>
    </row>
    <row r="402" spans="1:13">
      <c r="A402" s="115">
        <f t="shared" si="86"/>
        <v>39.800000000000296</v>
      </c>
      <c r="B402" s="11">
        <f t="shared" si="87"/>
        <v>3.6641541038525687</v>
      </c>
      <c r="C402" s="13">
        <f t="shared" si="88"/>
        <v>18.320770519262844</v>
      </c>
      <c r="D402" s="11">
        <f t="shared" si="89"/>
        <v>73.283082077051375</v>
      </c>
      <c r="E402" s="11">
        <f t="shared" si="90"/>
        <v>879.3969849246165</v>
      </c>
      <c r="F402" s="14">
        <f t="shared" si="91"/>
        <v>0.24427694025683791</v>
      </c>
      <c r="G402" s="6"/>
      <c r="H402" s="115">
        <f t="shared" si="92"/>
        <v>597.00000000000443</v>
      </c>
      <c r="I402" s="115">
        <f t="shared" si="93"/>
        <v>2985.0000000000223</v>
      </c>
      <c r="J402" s="115">
        <f t="shared" si="94"/>
        <v>18158.750000000135</v>
      </c>
      <c r="K402" s="115">
        <f t="shared" si="95"/>
        <v>143280.00000000108</v>
      </c>
      <c r="L402" s="6"/>
      <c r="M402" s="11">
        <f t="shared" si="96"/>
        <v>8.3752093802344429</v>
      </c>
    </row>
    <row r="403" spans="1:13">
      <c r="A403" s="115">
        <f t="shared" si="86"/>
        <v>39.900000000000297</v>
      </c>
      <c r="B403" s="11">
        <f t="shared" si="87"/>
        <v>3.6549707602338906</v>
      </c>
      <c r="C403" s="13">
        <f t="shared" si="88"/>
        <v>18.274853801169453</v>
      </c>
      <c r="D403" s="11">
        <f t="shared" si="89"/>
        <v>73.099415204677811</v>
      </c>
      <c r="E403" s="11">
        <f t="shared" si="90"/>
        <v>877.19298245613368</v>
      </c>
      <c r="F403" s="14">
        <f t="shared" si="91"/>
        <v>0.24366471734892603</v>
      </c>
      <c r="G403" s="6"/>
      <c r="H403" s="115">
        <f t="shared" si="92"/>
        <v>598.50000000000443</v>
      </c>
      <c r="I403" s="115">
        <f t="shared" si="93"/>
        <v>2992.5000000000223</v>
      </c>
      <c r="J403" s="115">
        <f t="shared" si="94"/>
        <v>18204.375000000135</v>
      </c>
      <c r="K403" s="115">
        <f t="shared" si="95"/>
        <v>143640.00000000108</v>
      </c>
      <c r="L403" s="6"/>
      <c r="M403" s="11">
        <f t="shared" si="96"/>
        <v>8.3542188805346083</v>
      </c>
    </row>
    <row r="404" spans="1:13">
      <c r="A404" s="115">
        <f t="shared" si="86"/>
        <v>40.000000000000298</v>
      </c>
      <c r="B404" s="11">
        <f t="shared" si="87"/>
        <v>3.6458333333333055</v>
      </c>
      <c r="C404" s="13">
        <f t="shared" si="88"/>
        <v>18.229166666666529</v>
      </c>
      <c r="D404" s="11">
        <f t="shared" si="89"/>
        <v>72.916666666666117</v>
      </c>
      <c r="E404" s="11">
        <f t="shared" si="90"/>
        <v>874.99999999999341</v>
      </c>
      <c r="F404" s="14">
        <f t="shared" si="91"/>
        <v>0.24305555555555369</v>
      </c>
      <c r="G404" s="6"/>
      <c r="H404" s="115">
        <f t="shared" si="92"/>
        <v>600.00000000000443</v>
      </c>
      <c r="I404" s="115">
        <f t="shared" si="93"/>
        <v>3000.0000000000223</v>
      </c>
      <c r="J404" s="115">
        <f t="shared" si="94"/>
        <v>18250.000000000135</v>
      </c>
      <c r="K404" s="115">
        <f t="shared" si="95"/>
        <v>144000.00000000108</v>
      </c>
      <c r="L404" s="6"/>
      <c r="M404" s="11">
        <f t="shared" si="96"/>
        <v>8.3333333333332718</v>
      </c>
    </row>
    <row r="405" spans="1:13">
      <c r="A405" s="115">
        <f t="shared" si="86"/>
        <v>40.1000000000003</v>
      </c>
      <c r="B405" s="11">
        <f t="shared" si="87"/>
        <v>3.6367414796342201</v>
      </c>
      <c r="C405" s="13">
        <f t="shared" si="88"/>
        <v>18.183707398171101</v>
      </c>
      <c r="D405" s="11">
        <f t="shared" si="89"/>
        <v>72.734829592684406</v>
      </c>
      <c r="E405" s="11">
        <f t="shared" si="90"/>
        <v>872.81795511221287</v>
      </c>
      <c r="F405" s="14">
        <f t="shared" si="91"/>
        <v>0.24244943197561467</v>
      </c>
      <c r="G405" s="6"/>
      <c r="H405" s="115">
        <f t="shared" si="92"/>
        <v>601.50000000000455</v>
      </c>
      <c r="I405" s="115">
        <f t="shared" si="93"/>
        <v>3007.5000000000227</v>
      </c>
      <c r="J405" s="115">
        <f t="shared" si="94"/>
        <v>18295.625000000138</v>
      </c>
      <c r="K405" s="115">
        <f t="shared" si="95"/>
        <v>144360.00000000111</v>
      </c>
      <c r="L405" s="6"/>
      <c r="M405" s="11">
        <f t="shared" si="96"/>
        <v>8.3125519534496455</v>
      </c>
    </row>
    <row r="406" spans="1:13">
      <c r="A406" s="115">
        <f t="shared" si="86"/>
        <v>40.200000000000301</v>
      </c>
      <c r="B406" s="11">
        <f t="shared" si="87"/>
        <v>3.6276948590381148</v>
      </c>
      <c r="C406" s="13">
        <f t="shared" si="88"/>
        <v>18.138474295190573</v>
      </c>
      <c r="D406" s="11">
        <f t="shared" si="89"/>
        <v>72.553897180762291</v>
      </c>
      <c r="E406" s="11">
        <f t="shared" si="90"/>
        <v>870.64676616914744</v>
      </c>
      <c r="F406" s="14">
        <f t="shared" si="91"/>
        <v>0.24184632393587432</v>
      </c>
      <c r="G406" s="6"/>
      <c r="H406" s="115">
        <f t="shared" si="92"/>
        <v>603.00000000000455</v>
      </c>
      <c r="I406" s="115">
        <f t="shared" si="93"/>
        <v>3015.0000000000227</v>
      </c>
      <c r="J406" s="115">
        <f t="shared" si="94"/>
        <v>18341.250000000138</v>
      </c>
      <c r="K406" s="115">
        <f t="shared" si="95"/>
        <v>144720.00000000111</v>
      </c>
      <c r="L406" s="6"/>
      <c r="M406" s="11">
        <f t="shared" si="96"/>
        <v>8.2918739635156928</v>
      </c>
    </row>
    <row r="407" spans="1:13">
      <c r="A407" s="115">
        <f t="shared" si="86"/>
        <v>40.300000000000303</v>
      </c>
      <c r="B407" s="11">
        <f t="shared" si="87"/>
        <v>3.6186931348221396</v>
      </c>
      <c r="C407" s="13">
        <f t="shared" si="88"/>
        <v>18.093465674110696</v>
      </c>
      <c r="D407" s="11">
        <f t="shared" si="89"/>
        <v>72.373862696442785</v>
      </c>
      <c r="E407" s="11">
        <f t="shared" si="90"/>
        <v>868.48635235731342</v>
      </c>
      <c r="F407" s="14">
        <f t="shared" si="91"/>
        <v>0.24124620898814264</v>
      </c>
      <c r="G407" s="6"/>
      <c r="H407" s="115">
        <f t="shared" si="92"/>
        <v>604.50000000000455</v>
      </c>
      <c r="I407" s="115">
        <f t="shared" si="93"/>
        <v>3022.5000000000227</v>
      </c>
      <c r="J407" s="115">
        <f t="shared" si="94"/>
        <v>18386.875000000138</v>
      </c>
      <c r="K407" s="115">
        <f t="shared" si="95"/>
        <v>145080.00000000111</v>
      </c>
      <c r="L407" s="6"/>
      <c r="M407" s="11">
        <f t="shared" si="96"/>
        <v>8.2712985938791768</v>
      </c>
    </row>
    <row r="408" spans="1:13">
      <c r="A408" s="115">
        <f t="shared" si="86"/>
        <v>40.400000000000304</v>
      </c>
      <c r="B408" s="11">
        <f t="shared" si="87"/>
        <v>3.6097359735973322</v>
      </c>
      <c r="C408" s="13">
        <f t="shared" si="88"/>
        <v>18.04867986798666</v>
      </c>
      <c r="D408" s="11">
        <f t="shared" si="89"/>
        <v>72.194719471946641</v>
      </c>
      <c r="E408" s="11">
        <f t="shared" si="90"/>
        <v>866.33663366335963</v>
      </c>
      <c r="F408" s="14">
        <f t="shared" si="91"/>
        <v>0.24064906490648882</v>
      </c>
      <c r="G408" s="6"/>
      <c r="H408" s="115">
        <f t="shared" si="92"/>
        <v>606.00000000000455</v>
      </c>
      <c r="I408" s="115">
        <f t="shared" si="93"/>
        <v>3030.0000000000227</v>
      </c>
      <c r="J408" s="115">
        <f t="shared" si="94"/>
        <v>18432.500000000138</v>
      </c>
      <c r="K408" s="115">
        <f t="shared" si="95"/>
        <v>145440.00000000111</v>
      </c>
      <c r="L408" s="6"/>
      <c r="M408" s="11">
        <f t="shared" si="96"/>
        <v>8.2508250825081895</v>
      </c>
    </row>
    <row r="409" spans="1:13">
      <c r="A409" s="115">
        <f t="shared" si="86"/>
        <v>40.500000000000306</v>
      </c>
      <c r="B409" s="11">
        <f t="shared" si="87"/>
        <v>3.6008230452674619</v>
      </c>
      <c r="C409" s="13">
        <f t="shared" si="88"/>
        <v>18.004115226337309</v>
      </c>
      <c r="D409" s="11">
        <f t="shared" si="89"/>
        <v>72.016460905349234</v>
      </c>
      <c r="E409" s="11">
        <f t="shared" si="90"/>
        <v>864.19753086419087</v>
      </c>
      <c r="F409" s="14">
        <f t="shared" si="91"/>
        <v>0.24005486968449746</v>
      </c>
      <c r="G409" s="6"/>
      <c r="H409" s="115">
        <f t="shared" si="92"/>
        <v>607.50000000000455</v>
      </c>
      <c r="I409" s="115">
        <f t="shared" si="93"/>
        <v>3037.5000000000227</v>
      </c>
      <c r="J409" s="115">
        <f t="shared" si="94"/>
        <v>18478.125000000138</v>
      </c>
      <c r="K409" s="115">
        <f t="shared" si="95"/>
        <v>145800.00000000111</v>
      </c>
      <c r="L409" s="6"/>
      <c r="M409" s="11">
        <f t="shared" si="96"/>
        <v>8.230452674897057</v>
      </c>
    </row>
    <row r="410" spans="1:13">
      <c r="A410" s="115">
        <f t="shared" si="86"/>
        <v>40.600000000000307</v>
      </c>
      <c r="B410" s="11">
        <f t="shared" si="87"/>
        <v>3.5919540229884781</v>
      </c>
      <c r="C410" s="13">
        <f t="shared" si="88"/>
        <v>17.959770114942391</v>
      </c>
      <c r="D410" s="11">
        <f t="shared" si="89"/>
        <v>71.839080459769562</v>
      </c>
      <c r="E410" s="11">
        <f t="shared" si="90"/>
        <v>862.0689655172348</v>
      </c>
      <c r="F410" s="14">
        <f t="shared" si="91"/>
        <v>0.23946360153256521</v>
      </c>
      <c r="G410" s="6"/>
      <c r="H410" s="115">
        <f t="shared" si="92"/>
        <v>609.00000000000455</v>
      </c>
      <c r="I410" s="115">
        <f t="shared" si="93"/>
        <v>3045.0000000000227</v>
      </c>
      <c r="J410" s="115">
        <f t="shared" si="94"/>
        <v>18523.750000000138</v>
      </c>
      <c r="K410" s="115">
        <f t="shared" si="95"/>
        <v>146160.00000000111</v>
      </c>
      <c r="L410" s="6"/>
      <c r="M410" s="11">
        <f t="shared" si="96"/>
        <v>8.2101806239736668</v>
      </c>
    </row>
    <row r="411" spans="1:13">
      <c r="A411" s="115">
        <f t="shared" si="86"/>
        <v>40.700000000000308</v>
      </c>
      <c r="B411" s="11">
        <f t="shared" si="87"/>
        <v>3.5831285831285555</v>
      </c>
      <c r="C411" s="13">
        <f t="shared" si="88"/>
        <v>17.915642915642778</v>
      </c>
      <c r="D411" s="11">
        <f t="shared" si="89"/>
        <v>71.662571662571111</v>
      </c>
      <c r="E411" s="11">
        <f t="shared" si="90"/>
        <v>859.95085995085333</v>
      </c>
      <c r="F411" s="14">
        <f t="shared" si="91"/>
        <v>0.23887523887523704</v>
      </c>
      <c r="G411" s="6"/>
      <c r="H411" s="115">
        <f t="shared" si="92"/>
        <v>610.50000000000466</v>
      </c>
      <c r="I411" s="115">
        <f t="shared" si="93"/>
        <v>3052.5000000000232</v>
      </c>
      <c r="J411" s="115">
        <f t="shared" si="94"/>
        <v>18569.375000000142</v>
      </c>
      <c r="K411" s="115">
        <f t="shared" si="95"/>
        <v>146520.00000000111</v>
      </c>
      <c r="L411" s="6"/>
      <c r="M411" s="11">
        <f t="shared" si="96"/>
        <v>8.1900081900081272</v>
      </c>
    </row>
    <row r="412" spans="1:13">
      <c r="A412" s="115">
        <f t="shared" si="86"/>
        <v>40.80000000000031</v>
      </c>
      <c r="B412" s="11">
        <f t="shared" si="87"/>
        <v>3.5743464052287304</v>
      </c>
      <c r="C412" s="13">
        <f t="shared" si="88"/>
        <v>17.871732026143651</v>
      </c>
      <c r="D412" s="11">
        <f t="shared" si="89"/>
        <v>71.486928104574602</v>
      </c>
      <c r="E412" s="11">
        <f t="shared" si="90"/>
        <v>857.84313725489528</v>
      </c>
      <c r="F412" s="14">
        <f t="shared" si="91"/>
        <v>0.23828976034858201</v>
      </c>
      <c r="G412" s="6"/>
      <c r="H412" s="115">
        <f t="shared" si="92"/>
        <v>612.00000000000466</v>
      </c>
      <c r="I412" s="115">
        <f t="shared" si="93"/>
        <v>3060.0000000000232</v>
      </c>
      <c r="J412" s="115">
        <f t="shared" si="94"/>
        <v>18615.000000000142</v>
      </c>
      <c r="K412" s="115">
        <f t="shared" si="95"/>
        <v>146880.00000000111</v>
      </c>
      <c r="L412" s="6"/>
      <c r="M412" s="11">
        <f t="shared" si="96"/>
        <v>8.169934640522813</v>
      </c>
    </row>
    <row r="413" spans="1:13">
      <c r="A413" s="115">
        <f t="shared" si="86"/>
        <v>40.900000000000311</v>
      </c>
      <c r="B413" s="11">
        <f t="shared" si="87"/>
        <v>3.5656071719641127</v>
      </c>
      <c r="C413" s="13">
        <f t="shared" si="88"/>
        <v>17.828035859820563</v>
      </c>
      <c r="D413" s="11">
        <f t="shared" si="89"/>
        <v>71.312143439282252</v>
      </c>
      <c r="E413" s="11">
        <f t="shared" si="90"/>
        <v>855.74572127138708</v>
      </c>
      <c r="F413" s="14">
        <f t="shared" si="91"/>
        <v>0.23770714479760752</v>
      </c>
      <c r="G413" s="6"/>
      <c r="H413" s="115">
        <f t="shared" si="92"/>
        <v>613.50000000000466</v>
      </c>
      <c r="I413" s="115">
        <f t="shared" si="93"/>
        <v>3067.5000000000232</v>
      </c>
      <c r="J413" s="115">
        <f t="shared" si="94"/>
        <v>18660.625000000142</v>
      </c>
      <c r="K413" s="115">
        <f t="shared" si="95"/>
        <v>147240.00000000111</v>
      </c>
      <c r="L413" s="6"/>
      <c r="M413" s="11">
        <f t="shared" si="96"/>
        <v>8.1499592502036879</v>
      </c>
    </row>
    <row r="414" spans="1:13">
      <c r="A414" s="115">
        <f t="shared" si="86"/>
        <v>41.000000000000313</v>
      </c>
      <c r="B414" s="11">
        <f t="shared" si="87"/>
        <v>3.5569105691056633</v>
      </c>
      <c r="C414" s="13">
        <f t="shared" si="88"/>
        <v>17.784552845528317</v>
      </c>
      <c r="D414" s="11">
        <f t="shared" si="89"/>
        <v>71.138211382113269</v>
      </c>
      <c r="E414" s="11">
        <f t="shared" si="90"/>
        <v>853.65853658535923</v>
      </c>
      <c r="F414" s="14">
        <f t="shared" si="91"/>
        <v>0.23712737127371089</v>
      </c>
      <c r="G414" s="6"/>
      <c r="H414" s="115">
        <f t="shared" si="92"/>
        <v>615.00000000000466</v>
      </c>
      <c r="I414" s="115">
        <f t="shared" si="93"/>
        <v>3075.0000000000232</v>
      </c>
      <c r="J414" s="115">
        <f t="shared" si="94"/>
        <v>18706.250000000142</v>
      </c>
      <c r="K414" s="115">
        <f t="shared" si="95"/>
        <v>147600.00000000111</v>
      </c>
      <c r="L414" s="6"/>
      <c r="M414" s="11">
        <f t="shared" si="96"/>
        <v>8.1300813008129467</v>
      </c>
    </row>
    <row r="415" spans="1:13">
      <c r="A415" s="115">
        <f t="shared" si="86"/>
        <v>41.100000000000314</v>
      </c>
      <c r="B415" s="11">
        <f t="shared" si="87"/>
        <v>3.5482562854825352</v>
      </c>
      <c r="C415" s="13">
        <f t="shared" si="88"/>
        <v>17.741281427412677</v>
      </c>
      <c r="D415" s="11">
        <f t="shared" si="89"/>
        <v>70.965125709650707</v>
      </c>
      <c r="E415" s="11">
        <f t="shared" si="90"/>
        <v>851.58150851580854</v>
      </c>
      <c r="F415" s="14">
        <f t="shared" si="91"/>
        <v>0.23655041903216903</v>
      </c>
      <c r="G415" s="6"/>
      <c r="H415" s="115">
        <f t="shared" si="92"/>
        <v>616.50000000000466</v>
      </c>
      <c r="I415" s="115">
        <f t="shared" si="93"/>
        <v>3082.5000000000232</v>
      </c>
      <c r="J415" s="115">
        <f t="shared" si="94"/>
        <v>18751.875000000142</v>
      </c>
      <c r="K415" s="115">
        <f t="shared" si="95"/>
        <v>147960.00000000111</v>
      </c>
      <c r="L415" s="6"/>
      <c r="M415" s="11">
        <f t="shared" si="96"/>
        <v>8.11030008110294</v>
      </c>
    </row>
    <row r="416" spans="1:13">
      <c r="A416" s="115">
        <f t="shared" si="86"/>
        <v>41.200000000000315</v>
      </c>
      <c r="B416" s="11">
        <f t="shared" si="87"/>
        <v>3.5396440129449562</v>
      </c>
      <c r="C416" s="13">
        <f t="shared" si="88"/>
        <v>17.698220064724779</v>
      </c>
      <c r="D416" s="11">
        <f t="shared" si="89"/>
        <v>70.792880258899118</v>
      </c>
      <c r="E416" s="11">
        <f t="shared" si="90"/>
        <v>849.51456310678941</v>
      </c>
      <c r="F416" s="14">
        <f t="shared" si="91"/>
        <v>0.23597626752966375</v>
      </c>
      <c r="G416" s="6"/>
      <c r="H416" s="115">
        <f t="shared" si="92"/>
        <v>618.00000000000477</v>
      </c>
      <c r="I416" s="115">
        <f t="shared" si="93"/>
        <v>3090.0000000000236</v>
      </c>
      <c r="J416" s="115">
        <f t="shared" si="94"/>
        <v>18797.500000000146</v>
      </c>
      <c r="K416" s="115">
        <f t="shared" si="95"/>
        <v>148320.00000000114</v>
      </c>
      <c r="L416" s="6"/>
      <c r="M416" s="11">
        <f t="shared" si="96"/>
        <v>8.0906148867313288</v>
      </c>
    </row>
    <row r="417" spans="1:13">
      <c r="A417" s="115">
        <f t="shared" si="86"/>
        <v>41.300000000000317</v>
      </c>
      <c r="B417" s="11">
        <f t="shared" si="87"/>
        <v>3.5310734463276559</v>
      </c>
      <c r="C417" s="13">
        <f t="shared" si="88"/>
        <v>17.65536723163828</v>
      </c>
      <c r="D417" s="11">
        <f t="shared" si="89"/>
        <v>70.621468926553121</v>
      </c>
      <c r="E417" s="11">
        <f t="shared" si="90"/>
        <v>847.45762711863745</v>
      </c>
      <c r="F417" s="14">
        <f t="shared" si="91"/>
        <v>0.23540489642184373</v>
      </c>
      <c r="G417" s="6"/>
      <c r="H417" s="115">
        <f t="shared" si="92"/>
        <v>619.50000000000477</v>
      </c>
      <c r="I417" s="115">
        <f t="shared" si="93"/>
        <v>3097.5000000000236</v>
      </c>
      <c r="J417" s="115">
        <f t="shared" si="94"/>
        <v>18843.125000000146</v>
      </c>
      <c r="K417" s="115">
        <f t="shared" si="95"/>
        <v>148680.00000000114</v>
      </c>
      <c r="L417" s="6"/>
      <c r="M417" s="11">
        <f t="shared" si="96"/>
        <v>8.0710250201775011</v>
      </c>
    </row>
    <row r="418" spans="1:13">
      <c r="A418" s="115">
        <f t="shared" si="86"/>
        <v>41.400000000000318</v>
      </c>
      <c r="B418" s="11">
        <f t="shared" si="87"/>
        <v>3.5225442834138212</v>
      </c>
      <c r="C418" s="13">
        <f t="shared" si="88"/>
        <v>17.612721417069107</v>
      </c>
      <c r="D418" s="11">
        <f t="shared" si="89"/>
        <v>70.450885668276428</v>
      </c>
      <c r="E418" s="11">
        <f t="shared" si="90"/>
        <v>845.41062801931707</v>
      </c>
      <c r="F418" s="14">
        <f t="shared" si="91"/>
        <v>0.23483628556092143</v>
      </c>
      <c r="G418" s="6"/>
      <c r="H418" s="115">
        <f t="shared" si="92"/>
        <v>621.00000000000477</v>
      </c>
      <c r="I418" s="115">
        <f t="shared" si="93"/>
        <v>3105.0000000000236</v>
      </c>
      <c r="J418" s="115">
        <f t="shared" si="94"/>
        <v>18888.750000000146</v>
      </c>
      <c r="K418" s="115">
        <f t="shared" si="95"/>
        <v>149040.00000000114</v>
      </c>
      <c r="L418" s="6"/>
      <c r="M418" s="11">
        <f t="shared" si="96"/>
        <v>8.0515297906601635</v>
      </c>
    </row>
    <row r="419" spans="1:13">
      <c r="A419" s="115">
        <f t="shared" si="86"/>
        <v>41.50000000000032</v>
      </c>
      <c r="B419" s="11">
        <f t="shared" si="87"/>
        <v>3.514056224899571</v>
      </c>
      <c r="C419" s="13">
        <f t="shared" si="88"/>
        <v>17.570281124497853</v>
      </c>
      <c r="D419" s="11">
        <f t="shared" si="89"/>
        <v>70.281124497991414</v>
      </c>
      <c r="E419" s="11">
        <f t="shared" si="90"/>
        <v>843.37349397589696</v>
      </c>
      <c r="F419" s="14">
        <f t="shared" si="91"/>
        <v>0.23427041499330473</v>
      </c>
      <c r="G419" s="6"/>
      <c r="H419" s="115">
        <f t="shared" si="92"/>
        <v>622.50000000000477</v>
      </c>
      <c r="I419" s="115">
        <f t="shared" si="93"/>
        <v>3112.5000000000236</v>
      </c>
      <c r="J419" s="115">
        <f t="shared" si="94"/>
        <v>18934.375000000146</v>
      </c>
      <c r="K419" s="115">
        <f t="shared" si="95"/>
        <v>149400.00000000114</v>
      </c>
      <c r="L419" s="6"/>
      <c r="M419" s="11">
        <f t="shared" si="96"/>
        <v>8.0321285140561631</v>
      </c>
    </row>
    <row r="420" spans="1:13">
      <c r="A420" s="115">
        <f t="shared" si="86"/>
        <v>41.600000000000321</v>
      </c>
      <c r="B420" s="11">
        <f t="shared" si="87"/>
        <v>3.5056089743589469</v>
      </c>
      <c r="C420" s="13">
        <f t="shared" si="88"/>
        <v>17.528044871794734</v>
      </c>
      <c r="D420" s="11">
        <f t="shared" si="89"/>
        <v>70.112179487178935</v>
      </c>
      <c r="E420" s="11">
        <f t="shared" si="90"/>
        <v>841.34615384614722</v>
      </c>
      <c r="F420" s="14">
        <f t="shared" si="91"/>
        <v>0.23370726495726313</v>
      </c>
      <c r="G420" s="6"/>
      <c r="H420" s="115">
        <f t="shared" si="92"/>
        <v>624.00000000000477</v>
      </c>
      <c r="I420" s="115">
        <f t="shared" si="93"/>
        <v>3120.0000000000236</v>
      </c>
      <c r="J420" s="115">
        <f t="shared" si="94"/>
        <v>18980.000000000146</v>
      </c>
      <c r="K420" s="115">
        <f t="shared" si="95"/>
        <v>149760.00000000114</v>
      </c>
      <c r="L420" s="6"/>
      <c r="M420" s="11">
        <f t="shared" si="96"/>
        <v>8.0128205128204524</v>
      </c>
    </row>
    <row r="421" spans="1:13">
      <c r="A421" s="115">
        <f t="shared" si="86"/>
        <v>41.700000000000323</v>
      </c>
      <c r="B421" s="11">
        <f t="shared" si="87"/>
        <v>3.4972022382094048</v>
      </c>
      <c r="C421" s="13">
        <f t="shared" si="88"/>
        <v>17.486011191047023</v>
      </c>
      <c r="D421" s="11">
        <f t="shared" si="89"/>
        <v>69.944044764188092</v>
      </c>
      <c r="E421" s="11">
        <f t="shared" si="90"/>
        <v>839.32853717025705</v>
      </c>
      <c r="F421" s="14">
        <f t="shared" si="91"/>
        <v>0.233146815880627</v>
      </c>
      <c r="G421" s="6"/>
      <c r="H421" s="115">
        <f t="shared" si="92"/>
        <v>625.50000000000489</v>
      </c>
      <c r="I421" s="115">
        <f t="shared" si="93"/>
        <v>3127.5000000000246</v>
      </c>
      <c r="J421" s="115">
        <f t="shared" si="94"/>
        <v>19025.625000000149</v>
      </c>
      <c r="K421" s="115">
        <f t="shared" si="95"/>
        <v>150120.00000000116</v>
      </c>
      <c r="L421" s="6"/>
      <c r="M421" s="11">
        <f t="shared" si="96"/>
        <v>7.9936051159072115</v>
      </c>
    </row>
    <row r="422" spans="1:13">
      <c r="A422" s="115">
        <f t="shared" si="86"/>
        <v>41.800000000000324</v>
      </c>
      <c r="B422" s="11">
        <f t="shared" si="87"/>
        <v>3.4888357256778035</v>
      </c>
      <c r="C422" s="13">
        <f t="shared" si="88"/>
        <v>17.444178628389018</v>
      </c>
      <c r="D422" s="11">
        <f t="shared" si="89"/>
        <v>69.776714513556072</v>
      </c>
      <c r="E422" s="11">
        <f t="shared" si="90"/>
        <v>837.32057416267287</v>
      </c>
      <c r="F422" s="14">
        <f t="shared" si="91"/>
        <v>0.23258904837852024</v>
      </c>
      <c r="G422" s="6"/>
      <c r="H422" s="115">
        <f t="shared" si="92"/>
        <v>627.00000000000489</v>
      </c>
      <c r="I422" s="115">
        <f t="shared" si="93"/>
        <v>3135.0000000000246</v>
      </c>
      <c r="J422" s="115">
        <f t="shared" si="94"/>
        <v>19071.250000000149</v>
      </c>
      <c r="K422" s="115">
        <f t="shared" si="95"/>
        <v>150480.00000000116</v>
      </c>
      <c r="L422" s="6"/>
      <c r="M422" s="11">
        <f t="shared" si="96"/>
        <v>7.974481658692123</v>
      </c>
    </row>
    <row r="423" spans="1:13">
      <c r="A423" s="115">
        <f t="shared" si="86"/>
        <v>41.900000000000325</v>
      </c>
      <c r="B423" s="11">
        <f t="shared" si="87"/>
        <v>3.480509148766878</v>
      </c>
      <c r="C423" s="13">
        <f t="shared" si="88"/>
        <v>17.402545743834391</v>
      </c>
      <c r="D423" s="11">
        <f t="shared" si="89"/>
        <v>69.610182975337565</v>
      </c>
      <c r="E423" s="11">
        <f t="shared" si="90"/>
        <v>835.32219570405073</v>
      </c>
      <c r="F423" s="14">
        <f t="shared" si="91"/>
        <v>0.2320339432511252</v>
      </c>
      <c r="G423" s="6"/>
      <c r="H423" s="115">
        <f t="shared" si="92"/>
        <v>628.50000000000489</v>
      </c>
      <c r="I423" s="115">
        <f t="shared" si="93"/>
        <v>3142.5000000000246</v>
      </c>
      <c r="J423" s="115">
        <f t="shared" si="94"/>
        <v>19116.875000000149</v>
      </c>
      <c r="K423" s="115">
        <f t="shared" si="95"/>
        <v>150840.00000000116</v>
      </c>
      <c r="L423" s="6"/>
      <c r="M423" s="11">
        <f t="shared" si="96"/>
        <v>7.9554494828957214</v>
      </c>
    </row>
    <row r="424" spans="1:13">
      <c r="A424" s="115">
        <f t="shared" si="86"/>
        <v>42.000000000000327</v>
      </c>
      <c r="B424" s="11">
        <f t="shared" si="87"/>
        <v>3.4722222222221948</v>
      </c>
      <c r="C424" s="13">
        <f t="shared" si="88"/>
        <v>17.361111111110972</v>
      </c>
      <c r="D424" s="11">
        <f t="shared" si="89"/>
        <v>69.444444444443889</v>
      </c>
      <c r="E424" s="11">
        <f t="shared" si="90"/>
        <v>833.33333333332666</v>
      </c>
      <c r="F424" s="14">
        <f t="shared" si="91"/>
        <v>0.23148148148147965</v>
      </c>
      <c r="G424" s="6"/>
      <c r="H424" s="115">
        <f t="shared" si="92"/>
        <v>630.00000000000489</v>
      </c>
      <c r="I424" s="115">
        <f t="shared" si="93"/>
        <v>3150.0000000000246</v>
      </c>
      <c r="J424" s="115">
        <f t="shared" si="94"/>
        <v>19162.500000000149</v>
      </c>
      <c r="K424" s="115">
        <f t="shared" si="95"/>
        <v>151200.00000000116</v>
      </c>
      <c r="L424" s="6"/>
      <c r="M424" s="11">
        <f t="shared" si="96"/>
        <v>7.9365079365078746</v>
      </c>
    </row>
    <row r="425" spans="1:13">
      <c r="A425" s="115">
        <f t="shared" si="86"/>
        <v>42.100000000000328</v>
      </c>
      <c r="B425" s="11">
        <f t="shared" si="87"/>
        <v>3.4639746634995765</v>
      </c>
      <c r="C425" s="13">
        <f t="shared" si="88"/>
        <v>17.319873317497883</v>
      </c>
      <c r="D425" s="11">
        <f t="shared" si="89"/>
        <v>69.279493269991534</v>
      </c>
      <c r="E425" s="11">
        <f t="shared" si="90"/>
        <v>831.35391923989846</v>
      </c>
      <c r="F425" s="14">
        <f t="shared" si="91"/>
        <v>0.23093164423330509</v>
      </c>
      <c r="G425" s="6"/>
      <c r="H425" s="115">
        <f t="shared" si="92"/>
        <v>631.50000000000489</v>
      </c>
      <c r="I425" s="115">
        <f t="shared" si="93"/>
        <v>3157.5000000000246</v>
      </c>
      <c r="J425" s="115">
        <f t="shared" si="94"/>
        <v>19208.125000000149</v>
      </c>
      <c r="K425" s="115">
        <f t="shared" si="95"/>
        <v>151560.00000000116</v>
      </c>
      <c r="L425" s="6"/>
      <c r="M425" s="11">
        <f t="shared" si="96"/>
        <v>7.9176563737133199</v>
      </c>
    </row>
    <row r="426" spans="1:13">
      <c r="A426" s="115">
        <f t="shared" si="86"/>
        <v>42.20000000000033</v>
      </c>
      <c r="B426" s="11">
        <f t="shared" si="87"/>
        <v>3.4557661927329901</v>
      </c>
      <c r="C426" s="13">
        <f t="shared" si="88"/>
        <v>17.278830963664952</v>
      </c>
      <c r="D426" s="11">
        <f t="shared" si="89"/>
        <v>69.115323854659806</v>
      </c>
      <c r="E426" s="11">
        <f t="shared" si="90"/>
        <v>829.38388625591767</v>
      </c>
      <c r="F426" s="14">
        <f t="shared" si="91"/>
        <v>0.23038441284886602</v>
      </c>
      <c r="G426" s="6"/>
      <c r="H426" s="115">
        <f t="shared" si="92"/>
        <v>633.000000000005</v>
      </c>
      <c r="I426" s="115">
        <f t="shared" si="93"/>
        <v>3165.000000000025</v>
      </c>
      <c r="J426" s="115">
        <f t="shared" si="94"/>
        <v>19253.750000000153</v>
      </c>
      <c r="K426" s="115">
        <f t="shared" si="95"/>
        <v>151920.00000000119</v>
      </c>
      <c r="L426" s="6"/>
      <c r="M426" s="11">
        <f t="shared" si="96"/>
        <v>7.8988941548182634</v>
      </c>
    </row>
    <row r="427" spans="1:13">
      <c r="A427" s="115">
        <f t="shared" si="86"/>
        <v>42.300000000000331</v>
      </c>
      <c r="B427" s="11">
        <f t="shared" si="87"/>
        <v>3.4475965327028884</v>
      </c>
      <c r="C427" s="13">
        <f t="shared" si="88"/>
        <v>17.23798266351444</v>
      </c>
      <c r="D427" s="11">
        <f t="shared" si="89"/>
        <v>68.951930654057762</v>
      </c>
      <c r="E427" s="11">
        <f t="shared" si="90"/>
        <v>827.42316784869308</v>
      </c>
      <c r="F427" s="14">
        <f t="shared" si="91"/>
        <v>0.22983976884685922</v>
      </c>
      <c r="G427" s="6"/>
      <c r="H427" s="115">
        <f t="shared" si="92"/>
        <v>634.500000000005</v>
      </c>
      <c r="I427" s="115">
        <f t="shared" si="93"/>
        <v>3172.500000000025</v>
      </c>
      <c r="J427" s="115">
        <f t="shared" si="94"/>
        <v>19299.375000000153</v>
      </c>
      <c r="K427" s="115">
        <f t="shared" si="95"/>
        <v>152280.00000000119</v>
      </c>
      <c r="L427" s="6"/>
      <c r="M427" s="11">
        <f t="shared" si="96"/>
        <v>7.8802206461780306</v>
      </c>
    </row>
    <row r="428" spans="1:13">
      <c r="A428" s="115">
        <f t="shared" si="86"/>
        <v>42.400000000000333</v>
      </c>
      <c r="B428" s="11">
        <f t="shared" si="87"/>
        <v>3.4394654088050038</v>
      </c>
      <c r="C428" s="13">
        <f t="shared" si="88"/>
        <v>17.19732704402502</v>
      </c>
      <c r="D428" s="11">
        <f t="shared" si="89"/>
        <v>68.789308176100079</v>
      </c>
      <c r="E428" s="11">
        <f t="shared" si="90"/>
        <v>825.471698113201</v>
      </c>
      <c r="F428" s="14">
        <f t="shared" si="91"/>
        <v>0.22929769392033358</v>
      </c>
      <c r="G428" s="6"/>
      <c r="H428" s="115">
        <f t="shared" si="92"/>
        <v>636.000000000005</v>
      </c>
      <c r="I428" s="115">
        <f t="shared" si="93"/>
        <v>3180.000000000025</v>
      </c>
      <c r="J428" s="115">
        <f t="shared" si="94"/>
        <v>19345.000000000153</v>
      </c>
      <c r="K428" s="115">
        <f t="shared" si="95"/>
        <v>152640.00000000119</v>
      </c>
      <c r="L428" s="6"/>
      <c r="M428" s="11">
        <f t="shared" si="96"/>
        <v>7.8616352201257245</v>
      </c>
    </row>
    <row r="429" spans="1:13">
      <c r="A429" s="115">
        <f t="shared" si="86"/>
        <v>42.500000000000334</v>
      </c>
      <c r="B429" s="11">
        <f t="shared" si="87"/>
        <v>3.4313725490195806</v>
      </c>
      <c r="C429" s="13">
        <f t="shared" si="88"/>
        <v>17.156862745097904</v>
      </c>
      <c r="D429" s="11">
        <f t="shared" si="89"/>
        <v>68.627450980391615</v>
      </c>
      <c r="E429" s="11">
        <f t="shared" si="90"/>
        <v>823.52941176469938</v>
      </c>
      <c r="F429" s="14">
        <f t="shared" si="91"/>
        <v>0.22875816993463871</v>
      </c>
      <c r="G429" s="6"/>
      <c r="H429" s="115">
        <f t="shared" si="92"/>
        <v>637.500000000005</v>
      </c>
      <c r="I429" s="115">
        <f t="shared" si="93"/>
        <v>3187.500000000025</v>
      </c>
      <c r="J429" s="115">
        <f t="shared" si="94"/>
        <v>19390.625000000153</v>
      </c>
      <c r="K429" s="115">
        <f t="shared" si="95"/>
        <v>153000.00000000119</v>
      </c>
      <c r="L429" s="6"/>
      <c r="M429" s="11">
        <f t="shared" si="96"/>
        <v>7.8431372549018992</v>
      </c>
    </row>
    <row r="430" spans="1:13">
      <c r="A430" s="115">
        <f t="shared" si="86"/>
        <v>42.600000000000335</v>
      </c>
      <c r="B430" s="11">
        <f t="shared" si="87"/>
        <v>3.4233176838810366</v>
      </c>
      <c r="C430" s="13">
        <f t="shared" si="88"/>
        <v>17.116588419405183</v>
      </c>
      <c r="D430" s="11">
        <f t="shared" si="89"/>
        <v>68.466353677620731</v>
      </c>
      <c r="E430" s="11">
        <f t="shared" si="90"/>
        <v>821.59624413144877</v>
      </c>
      <c r="F430" s="14">
        <f t="shared" si="91"/>
        <v>0.22822117892540245</v>
      </c>
      <c r="G430" s="6"/>
      <c r="H430" s="115">
        <f t="shared" si="92"/>
        <v>639.000000000005</v>
      </c>
      <c r="I430" s="115">
        <f t="shared" si="93"/>
        <v>3195.000000000025</v>
      </c>
      <c r="J430" s="115">
        <f t="shared" si="94"/>
        <v>19436.250000000153</v>
      </c>
      <c r="K430" s="115">
        <f t="shared" si="95"/>
        <v>153360.00000000119</v>
      </c>
      <c r="L430" s="6"/>
      <c r="M430" s="11">
        <f t="shared" si="96"/>
        <v>7.8247261345852284</v>
      </c>
    </row>
  </sheetData>
  <mergeCells count="2">
    <mergeCell ref="E1:G1"/>
    <mergeCell ref="H1:I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87"/>
  <sheetViews>
    <sheetView topLeftCell="A26" workbookViewId="0">
      <selection activeCell="M4" sqref="M4"/>
    </sheetView>
  </sheetViews>
  <sheetFormatPr defaultColWidth="9.140625" defaultRowHeight="31.5"/>
  <cols>
    <col min="1" max="1" width="10.5703125" style="23" bestFit="1" customWidth="1"/>
    <col min="2" max="2" width="19.42578125" style="24" bestFit="1" customWidth="1"/>
    <col min="3" max="3" width="9" style="23" bestFit="1" customWidth="1"/>
    <col min="4" max="4" width="18.7109375" style="17" bestFit="1" customWidth="1"/>
    <col min="5" max="5" width="16.85546875" style="21" bestFit="1" customWidth="1"/>
    <col min="6" max="6" width="18.7109375" style="29" bestFit="1" customWidth="1"/>
    <col min="7" max="7" width="18.7109375" style="3" bestFit="1" customWidth="1"/>
    <col min="8" max="8" width="18.7109375" style="29" bestFit="1" customWidth="1"/>
    <col min="9" max="9" width="18.7109375" style="3" bestFit="1" customWidth="1"/>
    <col min="10" max="10" width="18.7109375" style="29" bestFit="1" customWidth="1"/>
    <col min="11" max="11" width="16" style="3" bestFit="1" customWidth="1"/>
    <col min="12" max="12" width="21.28515625" style="25" bestFit="1" customWidth="1"/>
    <col min="13" max="13" width="30.85546875" style="9" bestFit="1" customWidth="1"/>
    <col min="14" max="14" width="30.85546875" style="1" bestFit="1" customWidth="1"/>
    <col min="15" max="15" width="9.140625" style="19"/>
    <col min="16" max="16384" width="9.140625" style="1"/>
  </cols>
  <sheetData>
    <row r="1" spans="1:14">
      <c r="A1" s="15"/>
      <c r="B1" s="16" t="s">
        <v>142</v>
      </c>
      <c r="C1" s="17"/>
      <c r="D1" s="112">
        <v>10</v>
      </c>
      <c r="E1" s="26">
        <v>5</v>
      </c>
      <c r="F1" s="3">
        <v>10</v>
      </c>
      <c r="G1" s="3">
        <v>15</v>
      </c>
      <c r="H1" s="3">
        <v>20</v>
      </c>
      <c r="I1" s="3">
        <v>25</v>
      </c>
      <c r="J1" s="3">
        <v>30</v>
      </c>
      <c r="K1" s="18" t="s">
        <v>143</v>
      </c>
      <c r="L1" s="3"/>
      <c r="M1" s="119">
        <v>500</v>
      </c>
      <c r="N1" s="1" t="s">
        <v>144</v>
      </c>
    </row>
    <row r="2" spans="1:14" ht="78.75">
      <c r="A2" s="15" t="s">
        <v>145</v>
      </c>
      <c r="B2" s="20">
        <v>5</v>
      </c>
      <c r="C2" s="15"/>
      <c r="D2" s="17" t="s">
        <v>80</v>
      </c>
      <c r="E2" s="21" t="s">
        <v>146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 t="s">
        <v>147</v>
      </c>
      <c r="L2" s="17" t="s">
        <v>85</v>
      </c>
      <c r="M2" s="9" t="s">
        <v>148</v>
      </c>
      <c r="N2" s="22" t="s">
        <v>149</v>
      </c>
    </row>
    <row r="3" spans="1:14">
      <c r="A3" s="23">
        <v>1</v>
      </c>
      <c r="B3" s="24" t="s">
        <v>150</v>
      </c>
      <c r="D3" s="113">
        <v>10</v>
      </c>
      <c r="E3" s="112">
        <f t="shared" ref="E3:E17" si="0">D3/$B$2</f>
        <v>2</v>
      </c>
      <c r="F3" s="114">
        <f t="shared" ref="F3:F16" si="1">E3*$F$1</f>
        <v>20</v>
      </c>
      <c r="G3" s="113">
        <f t="shared" ref="G3:G23" si="2">E3*$G$1</f>
        <v>30</v>
      </c>
      <c r="H3" s="114">
        <f t="shared" ref="H3:H66" si="3">E3*$H$1</f>
        <v>40</v>
      </c>
      <c r="I3" s="113">
        <f>E3*$I$1</f>
        <v>50</v>
      </c>
      <c r="J3" s="114">
        <f>E3*$J$1</f>
        <v>60</v>
      </c>
      <c r="K3" s="113"/>
      <c r="L3" s="114">
        <f t="shared" ref="L3:L34" si="4">SUM(F3:K3)</f>
        <v>200</v>
      </c>
      <c r="M3" s="115">
        <f>M1+L3</f>
        <v>700</v>
      </c>
      <c r="N3" s="116"/>
    </row>
    <row r="4" spans="1:14">
      <c r="B4" s="24" t="s">
        <v>151</v>
      </c>
      <c r="D4" s="113">
        <f>SUM(D3/100)*(100+$E$1)</f>
        <v>10.5</v>
      </c>
      <c r="E4" s="112">
        <f t="shared" si="0"/>
        <v>2.1</v>
      </c>
      <c r="F4" s="114">
        <f t="shared" si="1"/>
        <v>21</v>
      </c>
      <c r="G4" s="113">
        <f t="shared" si="2"/>
        <v>31.5</v>
      </c>
      <c r="H4" s="114">
        <f t="shared" si="3"/>
        <v>42</v>
      </c>
      <c r="I4" s="113">
        <f t="shared" ref="I4:I67" si="5">E4*$I$1</f>
        <v>52.5</v>
      </c>
      <c r="J4" s="114">
        <f t="shared" ref="J4:J67" si="6">E4*$J$1</f>
        <v>63</v>
      </c>
      <c r="K4" s="113"/>
      <c r="L4" s="114">
        <f t="shared" si="4"/>
        <v>210</v>
      </c>
      <c r="M4" s="115">
        <f t="shared" ref="M4:M35" si="7">SUM(F4:K4)+M3</f>
        <v>910</v>
      </c>
      <c r="N4" s="116"/>
    </row>
    <row r="5" spans="1:14">
      <c r="B5" s="24" t="s">
        <v>152</v>
      </c>
      <c r="D5" s="113">
        <f t="shared" ref="D5:D55" si="8">SUM(D4/100)*(100+$E$1)</f>
        <v>11.025</v>
      </c>
      <c r="E5" s="112">
        <f t="shared" si="0"/>
        <v>2.2050000000000001</v>
      </c>
      <c r="F5" s="114">
        <f t="shared" si="1"/>
        <v>22.05</v>
      </c>
      <c r="G5" s="113">
        <f t="shared" si="2"/>
        <v>33.075000000000003</v>
      </c>
      <c r="H5" s="114">
        <f t="shared" si="3"/>
        <v>44.1</v>
      </c>
      <c r="I5" s="113">
        <f t="shared" si="5"/>
        <v>55.125</v>
      </c>
      <c r="J5" s="114">
        <f t="shared" si="6"/>
        <v>66.150000000000006</v>
      </c>
      <c r="K5" s="113"/>
      <c r="L5" s="114">
        <f t="shared" si="4"/>
        <v>220.5</v>
      </c>
      <c r="M5" s="115">
        <f t="shared" si="7"/>
        <v>1130.5</v>
      </c>
      <c r="N5" s="116"/>
    </row>
    <row r="6" spans="1:14">
      <c r="B6" s="24" t="s">
        <v>153</v>
      </c>
      <c r="D6" s="113">
        <f t="shared" si="8"/>
        <v>11.57625</v>
      </c>
      <c r="E6" s="112">
        <f t="shared" si="0"/>
        <v>2.3152499999999998</v>
      </c>
      <c r="F6" s="114">
        <f t="shared" si="1"/>
        <v>23.152499999999996</v>
      </c>
      <c r="G6" s="113">
        <f t="shared" si="2"/>
        <v>34.728749999999998</v>
      </c>
      <c r="H6" s="114">
        <f t="shared" si="3"/>
        <v>46.304999999999993</v>
      </c>
      <c r="I6" s="113">
        <f t="shared" si="5"/>
        <v>57.881249999999994</v>
      </c>
      <c r="J6" s="114">
        <f t="shared" si="6"/>
        <v>69.457499999999996</v>
      </c>
      <c r="K6" s="113"/>
      <c r="L6" s="114">
        <f t="shared" si="4"/>
        <v>231.52499999999998</v>
      </c>
      <c r="M6" s="115">
        <f t="shared" si="7"/>
        <v>1362.0250000000001</v>
      </c>
      <c r="N6" s="116"/>
    </row>
    <row r="7" spans="1:14">
      <c r="A7" s="26"/>
      <c r="B7" s="27" t="s">
        <v>154</v>
      </c>
      <c r="C7" s="26"/>
      <c r="D7" s="113">
        <f t="shared" si="8"/>
        <v>12.1550625</v>
      </c>
      <c r="E7" s="112">
        <f t="shared" si="0"/>
        <v>2.4310125</v>
      </c>
      <c r="F7" s="112">
        <f t="shared" si="1"/>
        <v>24.310124999999999</v>
      </c>
      <c r="G7" s="112">
        <f t="shared" si="2"/>
        <v>36.465187499999999</v>
      </c>
      <c r="H7" s="112">
        <f t="shared" si="3"/>
        <v>48.620249999999999</v>
      </c>
      <c r="I7" s="112">
        <f t="shared" si="5"/>
        <v>60.775312499999998</v>
      </c>
      <c r="J7" s="112">
        <f t="shared" si="6"/>
        <v>72.930374999999998</v>
      </c>
      <c r="K7" s="112"/>
      <c r="L7" s="112">
        <f t="shared" si="4"/>
        <v>243.10124999999999</v>
      </c>
      <c r="M7" s="117">
        <f t="shared" si="7"/>
        <v>1605.12625</v>
      </c>
      <c r="N7" s="117">
        <f>M7-M1</f>
        <v>1105.12625</v>
      </c>
    </row>
    <row r="8" spans="1:14" ht="33.75">
      <c r="A8" s="23">
        <v>2</v>
      </c>
      <c r="B8" s="24" t="s">
        <v>150</v>
      </c>
      <c r="D8" s="113">
        <f t="shared" si="8"/>
        <v>12.762815625</v>
      </c>
      <c r="E8" s="112">
        <f t="shared" si="0"/>
        <v>2.5525631249999998</v>
      </c>
      <c r="F8" s="114">
        <f t="shared" si="1"/>
        <v>25.525631249999996</v>
      </c>
      <c r="G8" s="113">
        <f t="shared" si="2"/>
        <v>38.288446874999998</v>
      </c>
      <c r="H8" s="114">
        <f t="shared" si="3"/>
        <v>51.051262499999993</v>
      </c>
      <c r="I8" s="113">
        <f t="shared" si="5"/>
        <v>63.814078124999995</v>
      </c>
      <c r="J8" s="114">
        <f t="shared" si="6"/>
        <v>76.576893749999996</v>
      </c>
      <c r="K8" s="113"/>
      <c r="L8" s="114">
        <f t="shared" si="4"/>
        <v>255.25631249999998</v>
      </c>
      <c r="M8" s="115">
        <f t="shared" si="7"/>
        <v>1860.3825624999999</v>
      </c>
      <c r="N8" s="118"/>
    </row>
    <row r="9" spans="1:14">
      <c r="B9" s="24" t="s">
        <v>151</v>
      </c>
      <c r="D9" s="113">
        <f t="shared" si="8"/>
        <v>13.400956406250002</v>
      </c>
      <c r="E9" s="112">
        <f t="shared" si="0"/>
        <v>2.6801912812500004</v>
      </c>
      <c r="F9" s="114">
        <f t="shared" si="1"/>
        <v>26.801912812500003</v>
      </c>
      <c r="G9" s="113">
        <f t="shared" si="2"/>
        <v>40.202869218750003</v>
      </c>
      <c r="H9" s="114">
        <f t="shared" si="3"/>
        <v>53.603825625000006</v>
      </c>
      <c r="I9" s="113">
        <f t="shared" si="5"/>
        <v>67.004782031250016</v>
      </c>
      <c r="J9" s="114">
        <f t="shared" si="6"/>
        <v>80.405738437500005</v>
      </c>
      <c r="K9" s="113"/>
      <c r="L9" s="114">
        <f t="shared" si="4"/>
        <v>268.01912812500001</v>
      </c>
      <c r="M9" s="115">
        <f t="shared" si="7"/>
        <v>2128.4016906249999</v>
      </c>
      <c r="N9" s="116"/>
    </row>
    <row r="10" spans="1:14">
      <c r="B10" s="24" t="s">
        <v>152</v>
      </c>
      <c r="D10" s="113">
        <f t="shared" si="8"/>
        <v>14.071004226562501</v>
      </c>
      <c r="E10" s="112">
        <f t="shared" si="0"/>
        <v>2.8142008453125</v>
      </c>
      <c r="F10" s="114">
        <f t="shared" si="1"/>
        <v>28.142008453125001</v>
      </c>
      <c r="G10" s="113">
        <f t="shared" si="2"/>
        <v>42.213012679687502</v>
      </c>
      <c r="H10" s="114">
        <f t="shared" si="3"/>
        <v>56.284016906250002</v>
      </c>
      <c r="I10" s="113">
        <f t="shared" si="5"/>
        <v>70.355021132812496</v>
      </c>
      <c r="J10" s="114">
        <f t="shared" si="6"/>
        <v>84.426025359375004</v>
      </c>
      <c r="K10" s="113"/>
      <c r="L10" s="114">
        <f t="shared" si="4"/>
        <v>281.42008453124998</v>
      </c>
      <c r="M10" s="115">
        <f t="shared" si="7"/>
        <v>2409.8217751562497</v>
      </c>
      <c r="N10" s="116"/>
    </row>
    <row r="11" spans="1:14">
      <c r="B11" s="24" t="s">
        <v>153</v>
      </c>
      <c r="D11" s="113">
        <f t="shared" si="8"/>
        <v>14.774554437890625</v>
      </c>
      <c r="E11" s="112">
        <f t="shared" si="0"/>
        <v>2.9549108875781251</v>
      </c>
      <c r="F11" s="114">
        <f t="shared" si="1"/>
        <v>29.549108875781251</v>
      </c>
      <c r="G11" s="113">
        <f t="shared" si="2"/>
        <v>44.323663313671879</v>
      </c>
      <c r="H11" s="114">
        <f t="shared" si="3"/>
        <v>59.098217751562501</v>
      </c>
      <c r="I11" s="113">
        <f t="shared" si="5"/>
        <v>73.87277218945313</v>
      </c>
      <c r="J11" s="114">
        <f t="shared" si="6"/>
        <v>88.647326627343759</v>
      </c>
      <c r="K11" s="113"/>
      <c r="L11" s="114">
        <f t="shared" si="4"/>
        <v>295.49108875781252</v>
      </c>
      <c r="M11" s="115">
        <f t="shared" si="7"/>
        <v>2705.3128639140623</v>
      </c>
      <c r="N11" s="116"/>
    </row>
    <row r="12" spans="1:14">
      <c r="A12" s="26"/>
      <c r="B12" s="27" t="s">
        <v>154</v>
      </c>
      <c r="C12" s="26"/>
      <c r="D12" s="113">
        <f t="shared" si="8"/>
        <v>15.513282159785156</v>
      </c>
      <c r="E12" s="112">
        <f t="shared" si="0"/>
        <v>3.1026564319570311</v>
      </c>
      <c r="F12" s="112">
        <f>E12*$F$1</f>
        <v>31.026564319570312</v>
      </c>
      <c r="G12" s="112">
        <f t="shared" si="2"/>
        <v>46.539846479355468</v>
      </c>
      <c r="H12" s="112">
        <f t="shared" si="3"/>
        <v>62.053128639140624</v>
      </c>
      <c r="I12" s="112">
        <f t="shared" si="5"/>
        <v>77.566410798925773</v>
      </c>
      <c r="J12" s="112">
        <f t="shared" si="6"/>
        <v>93.079692958710936</v>
      </c>
      <c r="K12" s="112"/>
      <c r="L12" s="112">
        <f t="shared" si="4"/>
        <v>310.26564319570309</v>
      </c>
      <c r="M12" s="117">
        <f t="shared" si="7"/>
        <v>3015.5785071097653</v>
      </c>
      <c r="N12" s="117">
        <f>M12-M7</f>
        <v>1410.4522571097652</v>
      </c>
    </row>
    <row r="13" spans="1:14">
      <c r="A13" s="23">
        <v>3</v>
      </c>
      <c r="B13" s="24" t="s">
        <v>150</v>
      </c>
      <c r="D13" s="113">
        <f t="shared" si="8"/>
        <v>16.288946267774413</v>
      </c>
      <c r="E13" s="112">
        <f t="shared" si="0"/>
        <v>3.2577892535548827</v>
      </c>
      <c r="F13" s="114">
        <f t="shared" si="1"/>
        <v>32.577892535548827</v>
      </c>
      <c r="G13" s="113">
        <f t="shared" si="2"/>
        <v>48.86683880332324</v>
      </c>
      <c r="H13" s="114">
        <f t="shared" si="3"/>
        <v>65.155785071097654</v>
      </c>
      <c r="I13" s="113">
        <f t="shared" si="5"/>
        <v>81.44473133887206</v>
      </c>
      <c r="J13" s="114">
        <f t="shared" si="6"/>
        <v>97.733677606646481</v>
      </c>
      <c r="K13" s="113"/>
      <c r="L13" s="114">
        <f t="shared" si="4"/>
        <v>325.77892535548824</v>
      </c>
      <c r="M13" s="115">
        <f t="shared" si="7"/>
        <v>3341.3574324652536</v>
      </c>
      <c r="N13" s="116"/>
    </row>
    <row r="14" spans="1:14">
      <c r="B14" s="24" t="s">
        <v>151</v>
      </c>
      <c r="D14" s="113">
        <f t="shared" si="8"/>
        <v>17.103393581163132</v>
      </c>
      <c r="E14" s="112">
        <f t="shared" si="0"/>
        <v>3.4206787162326266</v>
      </c>
      <c r="F14" s="114">
        <f t="shared" si="1"/>
        <v>34.206787162326265</v>
      </c>
      <c r="G14" s="113">
        <f t="shared" si="2"/>
        <v>51.310180743489397</v>
      </c>
      <c r="H14" s="114">
        <f t="shared" si="3"/>
        <v>68.413574324652529</v>
      </c>
      <c r="I14" s="113">
        <f t="shared" si="5"/>
        <v>85.516967905815662</v>
      </c>
      <c r="J14" s="114">
        <f t="shared" si="6"/>
        <v>102.62036148697879</v>
      </c>
      <c r="K14" s="113"/>
      <c r="L14" s="114">
        <f t="shared" si="4"/>
        <v>342.06787162326259</v>
      </c>
      <c r="M14" s="115">
        <f t="shared" si="7"/>
        <v>3683.425304088516</v>
      </c>
      <c r="N14" s="116"/>
    </row>
    <row r="15" spans="1:14" ht="33.75">
      <c r="B15" s="24" t="s">
        <v>152</v>
      </c>
      <c r="D15" s="113">
        <f t="shared" si="8"/>
        <v>17.95856326022129</v>
      </c>
      <c r="E15" s="112">
        <f t="shared" si="0"/>
        <v>3.5917126520442579</v>
      </c>
      <c r="F15" s="114">
        <f t="shared" si="1"/>
        <v>35.917126520442579</v>
      </c>
      <c r="G15" s="113">
        <f t="shared" si="2"/>
        <v>53.875689780663869</v>
      </c>
      <c r="H15" s="114">
        <f t="shared" si="3"/>
        <v>71.834253040885159</v>
      </c>
      <c r="I15" s="113">
        <f t="shared" si="5"/>
        <v>89.792816301106456</v>
      </c>
      <c r="J15" s="114">
        <f t="shared" si="6"/>
        <v>107.75137956132774</v>
      </c>
      <c r="K15" s="113"/>
      <c r="L15" s="114">
        <f t="shared" si="4"/>
        <v>359.17126520442582</v>
      </c>
      <c r="M15" s="115">
        <f t="shared" si="7"/>
        <v>4042.5965692929417</v>
      </c>
      <c r="N15" s="118"/>
    </row>
    <row r="16" spans="1:14">
      <c r="B16" s="24" t="s">
        <v>153</v>
      </c>
      <c r="D16" s="113">
        <f t="shared" si="8"/>
        <v>18.856491423232352</v>
      </c>
      <c r="E16" s="112">
        <f t="shared" si="0"/>
        <v>3.7712982846464707</v>
      </c>
      <c r="F16" s="114">
        <f t="shared" si="1"/>
        <v>37.712982846464705</v>
      </c>
      <c r="G16" s="113">
        <f t="shared" si="2"/>
        <v>56.569474269697061</v>
      </c>
      <c r="H16" s="114">
        <f t="shared" si="3"/>
        <v>75.42596569292941</v>
      </c>
      <c r="I16" s="113">
        <f t="shared" si="5"/>
        <v>94.282457116161765</v>
      </c>
      <c r="J16" s="114">
        <f t="shared" si="6"/>
        <v>113.13894853939412</v>
      </c>
      <c r="K16" s="113"/>
      <c r="L16" s="114">
        <f t="shared" si="4"/>
        <v>377.12982846464706</v>
      </c>
      <c r="M16" s="115">
        <f t="shared" si="7"/>
        <v>4419.7263977575885</v>
      </c>
      <c r="N16" s="116"/>
    </row>
    <row r="17" spans="1:14">
      <c r="A17" s="26"/>
      <c r="B17" s="27" t="s">
        <v>154</v>
      </c>
      <c r="C17" s="26"/>
      <c r="D17" s="113">
        <f t="shared" si="8"/>
        <v>19.799315994393968</v>
      </c>
      <c r="E17" s="112">
        <f t="shared" si="0"/>
        <v>3.9598631988787938</v>
      </c>
      <c r="F17" s="112">
        <f>E17*$F$1</f>
        <v>39.598631988787936</v>
      </c>
      <c r="G17" s="112">
        <f t="shared" si="2"/>
        <v>59.397947983181908</v>
      </c>
      <c r="H17" s="112">
        <f t="shared" si="3"/>
        <v>79.197263977575872</v>
      </c>
      <c r="I17" s="112">
        <f t="shared" si="5"/>
        <v>98.996579971969851</v>
      </c>
      <c r="J17" s="112">
        <f t="shared" si="6"/>
        <v>118.79589596636382</v>
      </c>
      <c r="K17" s="112"/>
      <c r="L17" s="112">
        <f t="shared" si="4"/>
        <v>395.9863198878794</v>
      </c>
      <c r="M17" s="117">
        <f t="shared" si="7"/>
        <v>4815.7127176454678</v>
      </c>
      <c r="N17" s="117">
        <f>M17-M12</f>
        <v>1800.1342105357026</v>
      </c>
    </row>
    <row r="18" spans="1:14">
      <c r="A18" s="23">
        <v>4</v>
      </c>
      <c r="B18" s="24" t="s">
        <v>150</v>
      </c>
      <c r="D18" s="113">
        <f t="shared" si="8"/>
        <v>20.789281794113666</v>
      </c>
      <c r="E18" s="112">
        <f>D18/$B$2</f>
        <v>4.1578563588227331</v>
      </c>
      <c r="F18" s="114">
        <f>E18*$F$1</f>
        <v>41.578563588227333</v>
      </c>
      <c r="G18" s="113">
        <f t="shared" si="2"/>
        <v>62.367845382340995</v>
      </c>
      <c r="H18" s="114">
        <f t="shared" si="3"/>
        <v>83.157127176454665</v>
      </c>
      <c r="I18" s="113">
        <f t="shared" si="5"/>
        <v>103.94640897056833</v>
      </c>
      <c r="J18" s="114">
        <f t="shared" si="6"/>
        <v>124.73569076468199</v>
      </c>
      <c r="K18" s="113"/>
      <c r="L18" s="114">
        <f t="shared" si="4"/>
        <v>415.78563588227331</v>
      </c>
      <c r="M18" s="115">
        <f t="shared" si="7"/>
        <v>5231.4983535277415</v>
      </c>
      <c r="N18" s="116"/>
    </row>
    <row r="19" spans="1:14">
      <c r="B19" s="24" t="s">
        <v>151</v>
      </c>
      <c r="D19" s="113">
        <f t="shared" si="8"/>
        <v>21.828745883819352</v>
      </c>
      <c r="E19" s="112">
        <f t="shared" ref="E19:E82" si="9">D19/$B$2</f>
        <v>4.3657491767638703</v>
      </c>
      <c r="F19" s="114">
        <f t="shared" ref="F19:F82" si="10">E19*$F$1</f>
        <v>43.657491767638703</v>
      </c>
      <c r="G19" s="113">
        <f t="shared" si="2"/>
        <v>65.486237651458055</v>
      </c>
      <c r="H19" s="114">
        <f t="shared" si="3"/>
        <v>87.314983535277406</v>
      </c>
      <c r="I19" s="113">
        <f t="shared" si="5"/>
        <v>109.14372941909676</v>
      </c>
      <c r="J19" s="114">
        <f t="shared" si="6"/>
        <v>130.97247530291611</v>
      </c>
      <c r="K19" s="113"/>
      <c r="L19" s="114">
        <f t="shared" si="4"/>
        <v>436.57491767638703</v>
      </c>
      <c r="M19" s="115">
        <f t="shared" si="7"/>
        <v>5668.0732712041281</v>
      </c>
      <c r="N19" s="116"/>
    </row>
    <row r="20" spans="1:14">
      <c r="B20" s="24" t="s">
        <v>152</v>
      </c>
      <c r="D20" s="113">
        <f t="shared" si="8"/>
        <v>22.920183178010319</v>
      </c>
      <c r="E20" s="112">
        <f t="shared" si="9"/>
        <v>4.5840366356020636</v>
      </c>
      <c r="F20" s="114">
        <f t="shared" si="10"/>
        <v>45.840366356020638</v>
      </c>
      <c r="G20" s="113">
        <f t="shared" si="2"/>
        <v>68.760549534030957</v>
      </c>
      <c r="H20" s="114">
        <f t="shared" si="3"/>
        <v>91.680732712041276</v>
      </c>
      <c r="I20" s="113">
        <f t="shared" si="5"/>
        <v>114.6009158900516</v>
      </c>
      <c r="J20" s="114">
        <f t="shared" si="6"/>
        <v>137.52109906806191</v>
      </c>
      <c r="K20" s="113"/>
      <c r="L20" s="114">
        <f t="shared" si="4"/>
        <v>458.40366356020638</v>
      </c>
      <c r="M20" s="115">
        <f t="shared" si="7"/>
        <v>6126.4769347643341</v>
      </c>
      <c r="N20" s="116"/>
    </row>
    <row r="21" spans="1:14">
      <c r="B21" s="24" t="s">
        <v>153</v>
      </c>
      <c r="D21" s="113">
        <f t="shared" si="8"/>
        <v>24.066192336910834</v>
      </c>
      <c r="E21" s="112">
        <f t="shared" si="9"/>
        <v>4.8132384673821669</v>
      </c>
      <c r="F21" s="114">
        <f t="shared" si="10"/>
        <v>48.132384673821669</v>
      </c>
      <c r="G21" s="113">
        <f t="shared" si="2"/>
        <v>72.198577010732507</v>
      </c>
      <c r="H21" s="114">
        <f t="shared" si="3"/>
        <v>96.264769347643337</v>
      </c>
      <c r="I21" s="113">
        <f t="shared" si="5"/>
        <v>120.33096168455417</v>
      </c>
      <c r="J21" s="114">
        <f t="shared" si="6"/>
        <v>144.39715402146501</v>
      </c>
      <c r="K21" s="113"/>
      <c r="L21" s="114">
        <f t="shared" si="4"/>
        <v>481.32384673821673</v>
      </c>
      <c r="M21" s="115">
        <f t="shared" si="7"/>
        <v>6607.8007815025512</v>
      </c>
      <c r="N21" s="116"/>
    </row>
    <row r="22" spans="1:14">
      <c r="A22" s="26"/>
      <c r="B22" s="27" t="s">
        <v>154</v>
      </c>
      <c r="C22" s="26"/>
      <c r="D22" s="113">
        <f t="shared" si="8"/>
        <v>25.269501953756379</v>
      </c>
      <c r="E22" s="112">
        <f t="shared" si="9"/>
        <v>5.0539003907512754</v>
      </c>
      <c r="F22" s="112">
        <f t="shared" si="10"/>
        <v>50.53900390751275</v>
      </c>
      <c r="G22" s="112">
        <f t="shared" si="2"/>
        <v>75.808505861269126</v>
      </c>
      <c r="H22" s="112">
        <f t="shared" si="3"/>
        <v>101.0780078150255</v>
      </c>
      <c r="I22" s="112">
        <f t="shared" si="5"/>
        <v>126.34750976878189</v>
      </c>
      <c r="J22" s="112">
        <f t="shared" si="6"/>
        <v>151.61701172253825</v>
      </c>
      <c r="K22" s="112"/>
      <c r="L22" s="112">
        <f t="shared" si="4"/>
        <v>505.39003907512756</v>
      </c>
      <c r="M22" s="117">
        <f t="shared" si="7"/>
        <v>7113.190820577679</v>
      </c>
      <c r="N22" s="117">
        <f>M22-M17</f>
        <v>2297.4781029322112</v>
      </c>
    </row>
    <row r="23" spans="1:14">
      <c r="A23" s="23">
        <v>5</v>
      </c>
      <c r="B23" s="24" t="s">
        <v>150</v>
      </c>
      <c r="D23" s="113">
        <f t="shared" si="8"/>
        <v>26.532977051444199</v>
      </c>
      <c r="E23" s="112">
        <f t="shared" si="9"/>
        <v>5.30659541028884</v>
      </c>
      <c r="F23" s="114">
        <f t="shared" si="10"/>
        <v>53.065954102888398</v>
      </c>
      <c r="G23" s="113">
        <f t="shared" si="2"/>
        <v>79.598931154332604</v>
      </c>
      <c r="H23" s="114">
        <f t="shared" si="3"/>
        <v>106.1319082057768</v>
      </c>
      <c r="I23" s="113">
        <f t="shared" si="5"/>
        <v>132.66488525722099</v>
      </c>
      <c r="J23" s="114">
        <f t="shared" si="6"/>
        <v>159.19786230866521</v>
      </c>
      <c r="K23" s="113"/>
      <c r="L23" s="114">
        <f t="shared" si="4"/>
        <v>530.65954102888395</v>
      </c>
      <c r="M23" s="115">
        <f t="shared" si="7"/>
        <v>7643.8503616065627</v>
      </c>
      <c r="N23" s="116"/>
    </row>
    <row r="24" spans="1:14">
      <c r="B24" s="24" t="s">
        <v>151</v>
      </c>
      <c r="D24" s="113">
        <f t="shared" si="8"/>
        <v>27.859625904016411</v>
      </c>
      <c r="E24" s="112">
        <f t="shared" si="9"/>
        <v>5.5719251808032819</v>
      </c>
      <c r="F24" s="114">
        <f t="shared" si="10"/>
        <v>55.719251808032823</v>
      </c>
      <c r="G24" s="113">
        <f>E24*$G$1</f>
        <v>83.578877712049234</v>
      </c>
      <c r="H24" s="114">
        <f t="shared" si="3"/>
        <v>111.43850361606565</v>
      </c>
      <c r="I24" s="113">
        <f t="shared" si="5"/>
        <v>139.29812952008206</v>
      </c>
      <c r="J24" s="114">
        <f t="shared" si="6"/>
        <v>167.15775542409847</v>
      </c>
      <c r="K24" s="113"/>
      <c r="L24" s="114">
        <f t="shared" si="4"/>
        <v>557.19251808032823</v>
      </c>
      <c r="M24" s="115">
        <f t="shared" si="7"/>
        <v>8201.042879686891</v>
      </c>
      <c r="N24" s="116"/>
    </row>
    <row r="25" spans="1:14">
      <c r="B25" s="24" t="s">
        <v>152</v>
      </c>
      <c r="D25" s="113">
        <f t="shared" si="8"/>
        <v>29.252607199217231</v>
      </c>
      <c r="E25" s="112">
        <f t="shared" si="9"/>
        <v>5.8505214398434457</v>
      </c>
      <c r="F25" s="114">
        <f t="shared" si="10"/>
        <v>58.505214398434461</v>
      </c>
      <c r="G25" s="113">
        <f>E25*$G$1</f>
        <v>87.757821597651684</v>
      </c>
      <c r="H25" s="114">
        <f t="shared" si="3"/>
        <v>117.01042879686892</v>
      </c>
      <c r="I25" s="113">
        <f t="shared" si="5"/>
        <v>146.26303599608613</v>
      </c>
      <c r="J25" s="114">
        <f t="shared" si="6"/>
        <v>175.51564319530337</v>
      </c>
      <c r="K25" s="113"/>
      <c r="L25" s="114">
        <f t="shared" si="4"/>
        <v>585.05214398434464</v>
      </c>
      <c r="M25" s="115">
        <f t="shared" si="7"/>
        <v>8786.095023671236</v>
      </c>
      <c r="N25" s="116"/>
    </row>
    <row r="26" spans="1:14">
      <c r="B26" s="24" t="s">
        <v>153</v>
      </c>
      <c r="D26" s="113">
        <f t="shared" si="8"/>
        <v>30.715237559178089</v>
      </c>
      <c r="E26" s="112">
        <f t="shared" si="9"/>
        <v>6.1430475118356176</v>
      </c>
      <c r="F26" s="114">
        <f t="shared" si="10"/>
        <v>61.430475118356178</v>
      </c>
      <c r="G26" s="113">
        <f>E26*$G$1</f>
        <v>92.145712677534263</v>
      </c>
      <c r="H26" s="114">
        <f t="shared" si="3"/>
        <v>122.86095023671236</v>
      </c>
      <c r="I26" s="113">
        <f t="shared" si="5"/>
        <v>153.57618779589043</v>
      </c>
      <c r="J26" s="114">
        <f t="shared" si="6"/>
        <v>184.29142535506853</v>
      </c>
      <c r="K26" s="113"/>
      <c r="L26" s="114">
        <f t="shared" si="4"/>
        <v>614.30475118356173</v>
      </c>
      <c r="M26" s="115">
        <f t="shared" si="7"/>
        <v>9400.3997748547972</v>
      </c>
      <c r="N26" s="116"/>
    </row>
    <row r="27" spans="1:14">
      <c r="A27" s="26"/>
      <c r="B27" s="27" t="s">
        <v>154</v>
      </c>
      <c r="C27" s="26"/>
      <c r="D27" s="113">
        <f t="shared" si="8"/>
        <v>32.25099943713699</v>
      </c>
      <c r="E27" s="112">
        <f t="shared" si="9"/>
        <v>6.4501998874273978</v>
      </c>
      <c r="F27" s="112">
        <f t="shared" si="10"/>
        <v>64.50199887427398</v>
      </c>
      <c r="G27" s="112">
        <f>E27*$G$1</f>
        <v>96.752998311410963</v>
      </c>
      <c r="H27" s="112">
        <f t="shared" si="3"/>
        <v>129.00399774854796</v>
      </c>
      <c r="I27" s="112">
        <f t="shared" si="5"/>
        <v>161.25499718568494</v>
      </c>
      <c r="J27" s="112">
        <f t="shared" si="6"/>
        <v>193.50599662282193</v>
      </c>
      <c r="K27" s="112"/>
      <c r="L27" s="112">
        <f t="shared" si="4"/>
        <v>645.01998874273977</v>
      </c>
      <c r="M27" s="117">
        <f t="shared" si="7"/>
        <v>10045.419763597536</v>
      </c>
      <c r="N27" s="117">
        <f>M27-M22</f>
        <v>2932.2289430198571</v>
      </c>
    </row>
    <row r="28" spans="1:14">
      <c r="A28" s="23">
        <v>6</v>
      </c>
      <c r="B28" s="24" t="s">
        <v>150</v>
      </c>
      <c r="D28" s="113">
        <f t="shared" si="8"/>
        <v>33.86354940899384</v>
      </c>
      <c r="E28" s="112">
        <f t="shared" si="9"/>
        <v>6.7727098817987681</v>
      </c>
      <c r="F28" s="114">
        <f t="shared" si="10"/>
        <v>67.727098817987681</v>
      </c>
      <c r="G28" s="113">
        <f>E28*$G$1</f>
        <v>101.59064822698153</v>
      </c>
      <c r="H28" s="114">
        <f t="shared" si="3"/>
        <v>135.45419763597536</v>
      </c>
      <c r="I28" s="113">
        <f t="shared" si="5"/>
        <v>169.3177470449692</v>
      </c>
      <c r="J28" s="114">
        <f t="shared" si="6"/>
        <v>203.18129645396306</v>
      </c>
      <c r="K28" s="113"/>
      <c r="L28" s="114">
        <f t="shared" si="4"/>
        <v>677.27098817987689</v>
      </c>
      <c r="M28" s="115">
        <f t="shared" si="7"/>
        <v>10722.690751777413</v>
      </c>
      <c r="N28" s="116"/>
    </row>
    <row r="29" spans="1:14">
      <c r="B29" s="24" t="s">
        <v>151</v>
      </c>
      <c r="D29" s="113">
        <f t="shared" si="8"/>
        <v>35.556726879443538</v>
      </c>
      <c r="E29" s="112">
        <f t="shared" si="9"/>
        <v>7.1113453758887077</v>
      </c>
      <c r="F29" s="114">
        <f t="shared" si="10"/>
        <v>71.113453758887076</v>
      </c>
      <c r="G29" s="113">
        <f t="shared" ref="G29:G92" si="11">E29*$G$1</f>
        <v>106.67018063833062</v>
      </c>
      <c r="H29" s="114">
        <f t="shared" si="3"/>
        <v>142.22690751777415</v>
      </c>
      <c r="I29" s="113">
        <f t="shared" si="5"/>
        <v>177.7836343972177</v>
      </c>
      <c r="J29" s="114">
        <f t="shared" si="6"/>
        <v>213.34036127666124</v>
      </c>
      <c r="K29" s="113"/>
      <c r="L29" s="114">
        <f t="shared" si="4"/>
        <v>711.13453758887078</v>
      </c>
      <c r="M29" s="115">
        <f t="shared" si="7"/>
        <v>11433.825289366283</v>
      </c>
      <c r="N29" s="116"/>
    </row>
    <row r="30" spans="1:14">
      <c r="B30" s="24" t="s">
        <v>152</v>
      </c>
      <c r="D30" s="113">
        <f t="shared" si="8"/>
        <v>37.334563223415714</v>
      </c>
      <c r="E30" s="112">
        <f t="shared" si="9"/>
        <v>7.4669126446831431</v>
      </c>
      <c r="F30" s="114">
        <f t="shared" si="10"/>
        <v>74.669126446831427</v>
      </c>
      <c r="G30" s="113">
        <f t="shared" si="11"/>
        <v>112.00368967024714</v>
      </c>
      <c r="H30" s="114">
        <f t="shared" si="3"/>
        <v>149.33825289366285</v>
      </c>
      <c r="I30" s="113">
        <f t="shared" si="5"/>
        <v>186.67281611707858</v>
      </c>
      <c r="J30" s="114">
        <f t="shared" si="6"/>
        <v>224.00737934049428</v>
      </c>
      <c r="K30" s="113"/>
      <c r="L30" s="114">
        <f t="shared" si="4"/>
        <v>746.69126446831433</v>
      </c>
      <c r="M30" s="115">
        <f t="shared" si="7"/>
        <v>12180.516553834597</v>
      </c>
      <c r="N30" s="116"/>
    </row>
    <row r="31" spans="1:14">
      <c r="B31" s="24" t="s">
        <v>153</v>
      </c>
      <c r="D31" s="113">
        <f t="shared" si="8"/>
        <v>39.201291384586497</v>
      </c>
      <c r="E31" s="112">
        <f t="shared" si="9"/>
        <v>7.8402582769172993</v>
      </c>
      <c r="F31" s="114">
        <f t="shared" si="10"/>
        <v>78.402582769172994</v>
      </c>
      <c r="G31" s="113">
        <f t="shared" si="11"/>
        <v>117.60387415375949</v>
      </c>
      <c r="H31" s="114">
        <f t="shared" si="3"/>
        <v>156.80516553834599</v>
      </c>
      <c r="I31" s="113">
        <f t="shared" si="5"/>
        <v>196.00645692293247</v>
      </c>
      <c r="J31" s="114">
        <f t="shared" si="6"/>
        <v>235.20774830751898</v>
      </c>
      <c r="K31" s="113"/>
      <c r="L31" s="114">
        <f t="shared" si="4"/>
        <v>784.02582769172989</v>
      </c>
      <c r="M31" s="115">
        <f t="shared" si="7"/>
        <v>12964.542381526328</v>
      </c>
      <c r="N31" s="116"/>
    </row>
    <row r="32" spans="1:14">
      <c r="A32" s="26"/>
      <c r="B32" s="27" t="s">
        <v>154</v>
      </c>
      <c r="C32" s="26"/>
      <c r="D32" s="113">
        <f t="shared" si="8"/>
        <v>41.161355953815821</v>
      </c>
      <c r="E32" s="112">
        <f t="shared" si="9"/>
        <v>8.2322711907631643</v>
      </c>
      <c r="F32" s="112">
        <f t="shared" si="10"/>
        <v>82.322711907631643</v>
      </c>
      <c r="G32" s="112">
        <f t="shared" si="11"/>
        <v>123.48406786144747</v>
      </c>
      <c r="H32" s="112">
        <f t="shared" si="3"/>
        <v>164.64542381526329</v>
      </c>
      <c r="I32" s="112">
        <f t="shared" si="5"/>
        <v>205.8067797690791</v>
      </c>
      <c r="J32" s="112">
        <f t="shared" si="6"/>
        <v>246.96813572289494</v>
      </c>
      <c r="K32" s="112"/>
      <c r="L32" s="112">
        <f t="shared" si="4"/>
        <v>823.22711907631651</v>
      </c>
      <c r="M32" s="117">
        <f t="shared" si="7"/>
        <v>13787.769500602644</v>
      </c>
      <c r="N32" s="117">
        <f>M32-M27</f>
        <v>3742.3497370051082</v>
      </c>
    </row>
    <row r="33" spans="1:14">
      <c r="A33" s="23">
        <v>7</v>
      </c>
      <c r="B33" s="24" t="s">
        <v>150</v>
      </c>
      <c r="D33" s="113">
        <f t="shared" si="8"/>
        <v>43.219423751506611</v>
      </c>
      <c r="E33" s="112">
        <f t="shared" si="9"/>
        <v>8.6438847503013214</v>
      </c>
      <c r="F33" s="114">
        <f t="shared" si="10"/>
        <v>86.438847503013221</v>
      </c>
      <c r="G33" s="113">
        <f t="shared" si="11"/>
        <v>129.65827125451983</v>
      </c>
      <c r="H33" s="114">
        <f t="shared" si="3"/>
        <v>172.87769500602644</v>
      </c>
      <c r="I33" s="113">
        <f t="shared" si="5"/>
        <v>216.09711875753302</v>
      </c>
      <c r="J33" s="114">
        <f t="shared" si="6"/>
        <v>259.31654250903966</v>
      </c>
      <c r="K33" s="113"/>
      <c r="L33" s="114">
        <f t="shared" si="4"/>
        <v>864.38847503013221</v>
      </c>
      <c r="M33" s="115">
        <f t="shared" si="7"/>
        <v>14652.157975632777</v>
      </c>
      <c r="N33" s="116"/>
    </row>
    <row r="34" spans="1:14">
      <c r="B34" s="24" t="s">
        <v>151</v>
      </c>
      <c r="D34" s="113">
        <f t="shared" si="8"/>
        <v>45.380394939081938</v>
      </c>
      <c r="E34" s="112">
        <f t="shared" si="9"/>
        <v>9.0760789878163877</v>
      </c>
      <c r="F34" s="114">
        <f t="shared" si="10"/>
        <v>90.760789878163877</v>
      </c>
      <c r="G34" s="113">
        <f t="shared" si="11"/>
        <v>136.1411848172458</v>
      </c>
      <c r="H34" s="114">
        <f t="shared" si="3"/>
        <v>181.52157975632775</v>
      </c>
      <c r="I34" s="113">
        <f t="shared" si="5"/>
        <v>226.90197469540971</v>
      </c>
      <c r="J34" s="114">
        <f t="shared" si="6"/>
        <v>272.2823696344916</v>
      </c>
      <c r="K34" s="113"/>
      <c r="L34" s="114">
        <f t="shared" si="4"/>
        <v>907.60789878163871</v>
      </c>
      <c r="M34" s="115">
        <f t="shared" si="7"/>
        <v>15559.765874414416</v>
      </c>
      <c r="N34" s="116"/>
    </row>
    <row r="35" spans="1:14">
      <c r="B35" s="24" t="s">
        <v>152</v>
      </c>
      <c r="D35" s="113">
        <f t="shared" si="8"/>
        <v>47.649414686036032</v>
      </c>
      <c r="E35" s="112">
        <f t="shared" si="9"/>
        <v>9.5298829372072067</v>
      </c>
      <c r="F35" s="114">
        <f t="shared" si="10"/>
        <v>95.298829372072063</v>
      </c>
      <c r="G35" s="113">
        <f t="shared" si="11"/>
        <v>142.94824405810809</v>
      </c>
      <c r="H35" s="114">
        <f t="shared" si="3"/>
        <v>190.59765874414413</v>
      </c>
      <c r="I35" s="113">
        <f t="shared" si="5"/>
        <v>238.24707343018017</v>
      </c>
      <c r="J35" s="114">
        <f t="shared" si="6"/>
        <v>285.89648811621618</v>
      </c>
      <c r="K35" s="113"/>
      <c r="L35" s="114">
        <f t="shared" ref="L35:L66" si="12">SUM(F35:K35)</f>
        <v>952.98829372072055</v>
      </c>
      <c r="M35" s="115">
        <f t="shared" si="7"/>
        <v>16512.754168135136</v>
      </c>
      <c r="N35" s="116"/>
    </row>
    <row r="36" spans="1:14">
      <c r="B36" s="24" t="s">
        <v>153</v>
      </c>
      <c r="D36" s="113">
        <f t="shared" si="8"/>
        <v>50.031885420337829</v>
      </c>
      <c r="E36" s="112">
        <f t="shared" si="9"/>
        <v>10.006377084067566</v>
      </c>
      <c r="F36" s="114">
        <f t="shared" si="10"/>
        <v>100.06377084067566</v>
      </c>
      <c r="G36" s="113">
        <f t="shared" si="11"/>
        <v>150.09565626101349</v>
      </c>
      <c r="H36" s="114">
        <f t="shared" si="3"/>
        <v>200.12754168135132</v>
      </c>
      <c r="I36" s="113">
        <f t="shared" si="5"/>
        <v>250.15942710168915</v>
      </c>
      <c r="J36" s="114">
        <f t="shared" si="6"/>
        <v>300.19131252202698</v>
      </c>
      <c r="K36" s="113"/>
      <c r="L36" s="114">
        <f t="shared" si="12"/>
        <v>1000.6377084067567</v>
      </c>
      <c r="M36" s="115">
        <f t="shared" ref="M36:M67" si="13">SUM(F36:K36)+M35</f>
        <v>17513.391876541893</v>
      </c>
      <c r="N36" s="116"/>
    </row>
    <row r="37" spans="1:14">
      <c r="A37" s="26"/>
      <c r="B37" s="27" t="s">
        <v>154</v>
      </c>
      <c r="C37" s="26"/>
      <c r="D37" s="113">
        <f t="shared" si="8"/>
        <v>52.533479691354721</v>
      </c>
      <c r="E37" s="112">
        <f t="shared" si="9"/>
        <v>10.506695938270944</v>
      </c>
      <c r="F37" s="112">
        <f t="shared" si="10"/>
        <v>105.06695938270944</v>
      </c>
      <c r="G37" s="112">
        <f t="shared" si="11"/>
        <v>157.60043907406416</v>
      </c>
      <c r="H37" s="112">
        <f t="shared" si="3"/>
        <v>210.13391876541888</v>
      </c>
      <c r="I37" s="112">
        <f t="shared" si="5"/>
        <v>262.66739845677358</v>
      </c>
      <c r="J37" s="112">
        <f t="shared" si="6"/>
        <v>315.20087814812831</v>
      </c>
      <c r="K37" s="112"/>
      <c r="L37" s="112">
        <f t="shared" si="12"/>
        <v>1050.6695938270943</v>
      </c>
      <c r="M37" s="117">
        <f t="shared" si="13"/>
        <v>18564.061470368986</v>
      </c>
      <c r="N37" s="117">
        <f>M37-M32</f>
        <v>4776.2919697663419</v>
      </c>
    </row>
    <row r="38" spans="1:14">
      <c r="A38" s="23">
        <v>8</v>
      </c>
      <c r="B38" s="24" t="s">
        <v>150</v>
      </c>
      <c r="D38" s="113">
        <f t="shared" si="8"/>
        <v>55.160153675922459</v>
      </c>
      <c r="E38" s="112">
        <f t="shared" si="9"/>
        <v>11.032030735184492</v>
      </c>
      <c r="F38" s="114">
        <f t="shared" si="10"/>
        <v>110.32030735184492</v>
      </c>
      <c r="G38" s="113">
        <f t="shared" si="11"/>
        <v>165.48046102776738</v>
      </c>
      <c r="H38" s="114">
        <f t="shared" si="3"/>
        <v>220.64061470368983</v>
      </c>
      <c r="I38" s="113">
        <f t="shared" si="5"/>
        <v>275.80076837961229</v>
      </c>
      <c r="J38" s="114">
        <f t="shared" si="6"/>
        <v>330.96092205553475</v>
      </c>
      <c r="K38" s="113"/>
      <c r="L38" s="114">
        <f t="shared" si="12"/>
        <v>1103.2030735184492</v>
      </c>
      <c r="M38" s="115">
        <f t="shared" si="13"/>
        <v>19667.264543887435</v>
      </c>
      <c r="N38" s="116"/>
    </row>
    <row r="39" spans="1:14">
      <c r="B39" s="24" t="s">
        <v>151</v>
      </c>
      <c r="D39" s="113">
        <f t="shared" si="8"/>
        <v>57.918161359718589</v>
      </c>
      <c r="E39" s="112">
        <f t="shared" si="9"/>
        <v>11.583632271943717</v>
      </c>
      <c r="F39" s="114">
        <f t="shared" si="10"/>
        <v>115.83632271943716</v>
      </c>
      <c r="G39" s="113">
        <f t="shared" si="11"/>
        <v>173.75448407915576</v>
      </c>
      <c r="H39" s="114">
        <f t="shared" si="3"/>
        <v>231.67264543887433</v>
      </c>
      <c r="I39" s="113">
        <f t="shared" si="5"/>
        <v>289.59080679859295</v>
      </c>
      <c r="J39" s="114">
        <f t="shared" si="6"/>
        <v>347.50896815831152</v>
      </c>
      <c r="K39" s="113"/>
      <c r="L39" s="114">
        <f t="shared" si="12"/>
        <v>1158.3632271943716</v>
      </c>
      <c r="M39" s="115">
        <f t="shared" si="13"/>
        <v>20825.627771081807</v>
      </c>
      <c r="N39" s="116"/>
    </row>
    <row r="40" spans="1:14">
      <c r="B40" s="24" t="s">
        <v>152</v>
      </c>
      <c r="D40" s="113">
        <f t="shared" si="8"/>
        <v>60.814069427704517</v>
      </c>
      <c r="E40" s="112">
        <f t="shared" si="9"/>
        <v>12.162813885540903</v>
      </c>
      <c r="F40" s="114">
        <f t="shared" si="10"/>
        <v>121.62813885540902</v>
      </c>
      <c r="G40" s="113">
        <f t="shared" si="11"/>
        <v>182.44220828311353</v>
      </c>
      <c r="H40" s="114">
        <f t="shared" si="3"/>
        <v>243.25627771081804</v>
      </c>
      <c r="I40" s="113">
        <f t="shared" si="5"/>
        <v>304.07034713852255</v>
      </c>
      <c r="J40" s="114">
        <f t="shared" si="6"/>
        <v>364.88441656622706</v>
      </c>
      <c r="K40" s="113"/>
      <c r="L40" s="114">
        <f t="shared" si="12"/>
        <v>1216.28138855409</v>
      </c>
      <c r="M40" s="115">
        <f t="shared" si="13"/>
        <v>22041.909159635896</v>
      </c>
      <c r="N40" s="116"/>
    </row>
    <row r="41" spans="1:14">
      <c r="B41" s="24" t="s">
        <v>153</v>
      </c>
      <c r="D41" s="113">
        <f t="shared" si="8"/>
        <v>63.854772899089745</v>
      </c>
      <c r="E41" s="112">
        <f t="shared" si="9"/>
        <v>12.77095457981795</v>
      </c>
      <c r="F41" s="114">
        <f t="shared" si="10"/>
        <v>127.70954579817951</v>
      </c>
      <c r="G41" s="113">
        <f t="shared" si="11"/>
        <v>191.56431869726924</v>
      </c>
      <c r="H41" s="114">
        <f t="shared" si="3"/>
        <v>255.41909159635901</v>
      </c>
      <c r="I41" s="113">
        <f t="shared" si="5"/>
        <v>319.27386449544872</v>
      </c>
      <c r="J41" s="114">
        <f t="shared" si="6"/>
        <v>383.12863739453849</v>
      </c>
      <c r="K41" s="113"/>
      <c r="L41" s="114">
        <f t="shared" si="12"/>
        <v>1277.0954579817949</v>
      </c>
      <c r="M41" s="115">
        <f t="shared" si="13"/>
        <v>23319.004617617691</v>
      </c>
      <c r="N41" s="116"/>
    </row>
    <row r="42" spans="1:14">
      <c r="A42" s="26"/>
      <c r="B42" s="27" t="s">
        <v>154</v>
      </c>
      <c r="C42" s="26"/>
      <c r="D42" s="113">
        <f t="shared" si="8"/>
        <v>67.047511544044227</v>
      </c>
      <c r="E42" s="112">
        <f t="shared" si="9"/>
        <v>13.409502308808845</v>
      </c>
      <c r="F42" s="112">
        <f t="shared" si="10"/>
        <v>134.09502308808845</v>
      </c>
      <c r="G42" s="112">
        <f t="shared" si="11"/>
        <v>201.14253463213268</v>
      </c>
      <c r="H42" s="112">
        <f t="shared" si="3"/>
        <v>268.19004617617691</v>
      </c>
      <c r="I42" s="112">
        <f t="shared" si="5"/>
        <v>335.2375577202211</v>
      </c>
      <c r="J42" s="112">
        <f t="shared" si="6"/>
        <v>402.28506926426536</v>
      </c>
      <c r="K42" s="112"/>
      <c r="L42" s="112">
        <f t="shared" si="12"/>
        <v>1340.9502308808844</v>
      </c>
      <c r="M42" s="117">
        <f t="shared" si="13"/>
        <v>24659.954848498575</v>
      </c>
      <c r="N42" s="117">
        <f>M42-M36</f>
        <v>7146.5629719566823</v>
      </c>
    </row>
    <row r="43" spans="1:14">
      <c r="A43" s="23">
        <v>9</v>
      </c>
      <c r="B43" s="24" t="s">
        <v>150</v>
      </c>
      <c r="D43" s="113">
        <f t="shared" si="8"/>
        <v>70.399887121246437</v>
      </c>
      <c r="E43" s="112">
        <f t="shared" si="9"/>
        <v>14.079977424249288</v>
      </c>
      <c r="F43" s="114">
        <f t="shared" si="10"/>
        <v>140.79977424249287</v>
      </c>
      <c r="G43" s="113">
        <f t="shared" si="11"/>
        <v>211.19966136373932</v>
      </c>
      <c r="H43" s="114">
        <f t="shared" si="3"/>
        <v>281.59954848498575</v>
      </c>
      <c r="I43" s="113">
        <f t="shared" si="5"/>
        <v>351.99943560623217</v>
      </c>
      <c r="J43" s="114">
        <f t="shared" si="6"/>
        <v>422.39932272747865</v>
      </c>
      <c r="K43" s="113"/>
      <c r="L43" s="114">
        <f t="shared" si="12"/>
        <v>1407.9977424249287</v>
      </c>
      <c r="M43" s="115">
        <f t="shared" si="13"/>
        <v>26067.952590923505</v>
      </c>
      <c r="N43" s="116"/>
    </row>
    <row r="44" spans="1:14">
      <c r="B44" s="24" t="s">
        <v>151</v>
      </c>
      <c r="D44" s="113">
        <f t="shared" si="8"/>
        <v>73.919881477308763</v>
      </c>
      <c r="E44" s="112">
        <f t="shared" si="9"/>
        <v>14.783976295461752</v>
      </c>
      <c r="F44" s="114">
        <f t="shared" si="10"/>
        <v>147.83976295461753</v>
      </c>
      <c r="G44" s="113">
        <f t="shared" si="11"/>
        <v>221.75964443192629</v>
      </c>
      <c r="H44" s="114">
        <f t="shared" si="3"/>
        <v>295.67952590923505</v>
      </c>
      <c r="I44" s="113">
        <f t="shared" si="5"/>
        <v>369.59940738654382</v>
      </c>
      <c r="J44" s="114">
        <f t="shared" si="6"/>
        <v>443.51928886385258</v>
      </c>
      <c r="K44" s="113"/>
      <c r="L44" s="114">
        <f t="shared" si="12"/>
        <v>1478.3976295461753</v>
      </c>
      <c r="M44" s="115">
        <f t="shared" si="13"/>
        <v>27546.350220469682</v>
      </c>
      <c r="N44" s="116"/>
    </row>
    <row r="45" spans="1:14">
      <c r="B45" s="24" t="s">
        <v>152</v>
      </c>
      <c r="D45" s="113">
        <f t="shared" si="8"/>
        <v>77.615875551174213</v>
      </c>
      <c r="E45" s="112">
        <f t="shared" si="9"/>
        <v>15.523175110234842</v>
      </c>
      <c r="F45" s="114">
        <f t="shared" si="10"/>
        <v>155.23175110234843</v>
      </c>
      <c r="G45" s="113">
        <f t="shared" si="11"/>
        <v>232.84762665352264</v>
      </c>
      <c r="H45" s="114">
        <f t="shared" si="3"/>
        <v>310.46350220469685</v>
      </c>
      <c r="I45" s="113">
        <f t="shared" si="5"/>
        <v>388.07937775587106</v>
      </c>
      <c r="J45" s="114">
        <f t="shared" si="6"/>
        <v>465.69525330704528</v>
      </c>
      <c r="K45" s="113"/>
      <c r="L45" s="114">
        <f t="shared" si="12"/>
        <v>1552.3175110234843</v>
      </c>
      <c r="M45" s="115">
        <f t="shared" si="13"/>
        <v>29098.667731493166</v>
      </c>
      <c r="N45" s="116"/>
    </row>
    <row r="46" spans="1:14">
      <c r="B46" s="24" t="s">
        <v>153</v>
      </c>
      <c r="D46" s="113">
        <f t="shared" si="8"/>
        <v>81.496669328732935</v>
      </c>
      <c r="E46" s="112">
        <f t="shared" si="9"/>
        <v>16.299333865746586</v>
      </c>
      <c r="F46" s="114">
        <f t="shared" si="10"/>
        <v>162.99333865746587</v>
      </c>
      <c r="G46" s="113">
        <f t="shared" si="11"/>
        <v>244.4900079861988</v>
      </c>
      <c r="H46" s="114">
        <f t="shared" si="3"/>
        <v>325.98667731493174</v>
      </c>
      <c r="I46" s="113">
        <f t="shared" si="5"/>
        <v>407.48334664366467</v>
      </c>
      <c r="J46" s="114">
        <f t="shared" si="6"/>
        <v>488.98001597239761</v>
      </c>
      <c r="K46" s="113"/>
      <c r="L46" s="114">
        <f t="shared" si="12"/>
        <v>1629.9333865746585</v>
      </c>
      <c r="M46" s="115">
        <f t="shared" si="13"/>
        <v>30728.601118067825</v>
      </c>
      <c r="N46" s="116"/>
    </row>
    <row r="47" spans="1:14">
      <c r="A47" s="26"/>
      <c r="B47" s="27" t="s">
        <v>154</v>
      </c>
      <c r="C47" s="26"/>
      <c r="D47" s="113">
        <f t="shared" si="8"/>
        <v>85.571502795169593</v>
      </c>
      <c r="E47" s="112">
        <f t="shared" si="9"/>
        <v>17.114300559033918</v>
      </c>
      <c r="F47" s="112">
        <f t="shared" si="10"/>
        <v>171.14300559033919</v>
      </c>
      <c r="G47" s="112">
        <f t="shared" si="11"/>
        <v>256.71450838550879</v>
      </c>
      <c r="H47" s="112">
        <f t="shared" si="3"/>
        <v>342.28601118067837</v>
      </c>
      <c r="I47" s="112">
        <f t="shared" si="5"/>
        <v>427.85751397584795</v>
      </c>
      <c r="J47" s="112">
        <f t="shared" si="6"/>
        <v>513.42901677101759</v>
      </c>
      <c r="K47" s="112"/>
      <c r="L47" s="112">
        <f t="shared" si="12"/>
        <v>1711.4300559033918</v>
      </c>
      <c r="M47" s="117">
        <f t="shared" si="13"/>
        <v>32440.031173971216</v>
      </c>
      <c r="N47" s="117">
        <f>M47-M42</f>
        <v>7780.0763254726407</v>
      </c>
    </row>
    <row r="48" spans="1:14">
      <c r="A48" s="23">
        <v>10</v>
      </c>
      <c r="B48" s="24" t="s">
        <v>150</v>
      </c>
      <c r="D48" s="113">
        <f t="shared" si="8"/>
        <v>89.85007793492808</v>
      </c>
      <c r="E48" s="112">
        <f t="shared" si="9"/>
        <v>17.970015586985618</v>
      </c>
      <c r="F48" s="114">
        <f t="shared" si="10"/>
        <v>179.70015586985619</v>
      </c>
      <c r="G48" s="113">
        <f t="shared" si="11"/>
        <v>269.55023380478428</v>
      </c>
      <c r="H48" s="114">
        <f t="shared" si="3"/>
        <v>359.40031173971238</v>
      </c>
      <c r="I48" s="113">
        <f t="shared" si="5"/>
        <v>449.25038967464042</v>
      </c>
      <c r="J48" s="114">
        <f t="shared" si="6"/>
        <v>539.10046760956857</v>
      </c>
      <c r="K48" s="113"/>
      <c r="L48" s="114">
        <f t="shared" si="12"/>
        <v>1797.0015586985619</v>
      </c>
      <c r="M48" s="115">
        <f t="shared" si="13"/>
        <v>34237.032732669781</v>
      </c>
      <c r="N48" s="116"/>
    </row>
    <row r="49" spans="1:14">
      <c r="B49" s="24" t="s">
        <v>151</v>
      </c>
      <c r="D49" s="113">
        <f t="shared" si="8"/>
        <v>94.342581831674494</v>
      </c>
      <c r="E49" s="112">
        <f t="shared" si="9"/>
        <v>18.868516366334898</v>
      </c>
      <c r="F49" s="114">
        <f t="shared" si="10"/>
        <v>188.68516366334899</v>
      </c>
      <c r="G49" s="113">
        <f t="shared" si="11"/>
        <v>283.02774549502345</v>
      </c>
      <c r="H49" s="114">
        <f t="shared" si="3"/>
        <v>377.37032732669797</v>
      </c>
      <c r="I49" s="113">
        <f t="shared" si="5"/>
        <v>471.71290915837244</v>
      </c>
      <c r="J49" s="114">
        <f t="shared" si="6"/>
        <v>566.05549099004691</v>
      </c>
      <c r="K49" s="113"/>
      <c r="L49" s="114">
        <f t="shared" si="12"/>
        <v>1886.8516366334898</v>
      </c>
      <c r="M49" s="115">
        <f t="shared" si="13"/>
        <v>36123.884369303269</v>
      </c>
      <c r="N49" s="116"/>
    </row>
    <row r="50" spans="1:14">
      <c r="B50" s="24" t="s">
        <v>152</v>
      </c>
      <c r="D50" s="113">
        <f t="shared" si="8"/>
        <v>99.059710923258223</v>
      </c>
      <c r="E50" s="112">
        <f t="shared" si="9"/>
        <v>19.811942184651645</v>
      </c>
      <c r="F50" s="114">
        <f t="shared" si="10"/>
        <v>198.11942184651645</v>
      </c>
      <c r="G50" s="113">
        <f t="shared" si="11"/>
        <v>297.1791327697747</v>
      </c>
      <c r="H50" s="114">
        <f t="shared" si="3"/>
        <v>396.23884369303289</v>
      </c>
      <c r="I50" s="113">
        <f t="shared" si="5"/>
        <v>495.29855461629114</v>
      </c>
      <c r="J50" s="114">
        <f t="shared" si="6"/>
        <v>594.35826553954939</v>
      </c>
      <c r="K50" s="113"/>
      <c r="L50" s="114">
        <f t="shared" si="12"/>
        <v>1981.1942184651646</v>
      </c>
      <c r="M50" s="115">
        <f t="shared" si="13"/>
        <v>38105.078587768432</v>
      </c>
      <c r="N50" s="116"/>
    </row>
    <row r="51" spans="1:14">
      <c r="B51" s="24" t="s">
        <v>153</v>
      </c>
      <c r="D51" s="113">
        <f t="shared" si="8"/>
        <v>104.01269646942114</v>
      </c>
      <c r="E51" s="112">
        <f t="shared" si="9"/>
        <v>20.80253929388423</v>
      </c>
      <c r="F51" s="114">
        <f t="shared" si="10"/>
        <v>208.02539293884229</v>
      </c>
      <c r="G51" s="113">
        <f t="shared" si="11"/>
        <v>312.03808940826343</v>
      </c>
      <c r="H51" s="114">
        <f t="shared" si="3"/>
        <v>416.05078587768458</v>
      </c>
      <c r="I51" s="113">
        <f t="shared" si="5"/>
        <v>520.06348234710572</v>
      </c>
      <c r="J51" s="114">
        <f t="shared" si="6"/>
        <v>624.07617881652686</v>
      </c>
      <c r="K51" s="113"/>
      <c r="L51" s="114">
        <f t="shared" si="12"/>
        <v>2080.2539293884229</v>
      </c>
      <c r="M51" s="115">
        <f t="shared" si="13"/>
        <v>40185.332517156858</v>
      </c>
      <c r="N51" s="116"/>
    </row>
    <row r="52" spans="1:14">
      <c r="A52" s="26"/>
      <c r="B52" s="27" t="s">
        <v>154</v>
      </c>
      <c r="C52" s="26"/>
      <c r="D52" s="113">
        <f t="shared" si="8"/>
        <v>109.21333129289221</v>
      </c>
      <c r="E52" s="112">
        <f t="shared" si="9"/>
        <v>21.84266625857844</v>
      </c>
      <c r="F52" s="112">
        <f t="shared" si="10"/>
        <v>218.42666258578441</v>
      </c>
      <c r="G52" s="112">
        <f t="shared" si="11"/>
        <v>327.63999387867659</v>
      </c>
      <c r="H52" s="112">
        <f t="shared" si="3"/>
        <v>436.85332517156883</v>
      </c>
      <c r="I52" s="112">
        <f t="shared" si="5"/>
        <v>546.06665646446095</v>
      </c>
      <c r="J52" s="112">
        <f t="shared" si="6"/>
        <v>655.27998775735318</v>
      </c>
      <c r="K52" s="112"/>
      <c r="L52" s="112">
        <f t="shared" si="12"/>
        <v>2184.2666258578438</v>
      </c>
      <c r="M52" s="117">
        <f t="shared" si="13"/>
        <v>42369.599143014704</v>
      </c>
      <c r="N52" s="117">
        <f>M52-M47</f>
        <v>9929.5679690434881</v>
      </c>
    </row>
    <row r="53" spans="1:14">
      <c r="A53" s="23">
        <v>11</v>
      </c>
      <c r="B53" s="24" t="s">
        <v>150</v>
      </c>
      <c r="D53" s="113">
        <f t="shared" si="8"/>
        <v>114.67399785753682</v>
      </c>
      <c r="E53" s="112">
        <f t="shared" si="9"/>
        <v>22.934799571507362</v>
      </c>
      <c r="F53" s="114">
        <f t="shared" si="10"/>
        <v>229.34799571507364</v>
      </c>
      <c r="G53" s="113">
        <f t="shared" si="11"/>
        <v>344.02199357261043</v>
      </c>
      <c r="H53" s="114">
        <f t="shared" si="3"/>
        <v>458.69599143014727</v>
      </c>
      <c r="I53" s="113">
        <f t="shared" si="5"/>
        <v>573.36998928768401</v>
      </c>
      <c r="J53" s="114">
        <f t="shared" si="6"/>
        <v>688.04398714522085</v>
      </c>
      <c r="K53" s="113"/>
      <c r="L53" s="114">
        <f t="shared" si="12"/>
        <v>2293.479957150736</v>
      </c>
      <c r="M53" s="115">
        <f t="shared" si="13"/>
        <v>44663.079100165443</v>
      </c>
      <c r="N53" s="116"/>
    </row>
    <row r="54" spans="1:14">
      <c r="B54" s="24" t="s">
        <v>151</v>
      </c>
      <c r="D54" s="113">
        <f t="shared" si="8"/>
        <v>120.40769775041366</v>
      </c>
      <c r="E54" s="112">
        <f t="shared" si="9"/>
        <v>24.081539550082731</v>
      </c>
      <c r="F54" s="114">
        <f t="shared" si="10"/>
        <v>240.81539550082732</v>
      </c>
      <c r="G54" s="113">
        <f t="shared" si="11"/>
        <v>361.22309325124098</v>
      </c>
      <c r="H54" s="114">
        <f t="shared" si="3"/>
        <v>481.63079100165464</v>
      </c>
      <c r="I54" s="113">
        <f t="shared" si="5"/>
        <v>602.03848875206825</v>
      </c>
      <c r="J54" s="114">
        <f t="shared" si="6"/>
        <v>722.44618650248196</v>
      </c>
      <c r="K54" s="113"/>
      <c r="L54" s="114">
        <f t="shared" si="12"/>
        <v>2408.153955008273</v>
      </c>
      <c r="M54" s="115">
        <f t="shared" si="13"/>
        <v>47071.233055173718</v>
      </c>
      <c r="N54" s="116"/>
    </row>
    <row r="55" spans="1:14">
      <c r="B55" s="24" t="s">
        <v>152</v>
      </c>
      <c r="D55" s="113">
        <f t="shared" si="8"/>
        <v>126.42808263793435</v>
      </c>
      <c r="E55" s="112">
        <f t="shared" si="9"/>
        <v>25.285616527586871</v>
      </c>
      <c r="F55" s="114">
        <f t="shared" si="10"/>
        <v>252.8561652758687</v>
      </c>
      <c r="G55" s="113">
        <f t="shared" si="11"/>
        <v>379.28424791380309</v>
      </c>
      <c r="H55" s="114">
        <f t="shared" si="3"/>
        <v>505.71233055173741</v>
      </c>
      <c r="I55" s="113">
        <f t="shared" si="5"/>
        <v>632.14041318967179</v>
      </c>
      <c r="J55" s="114">
        <f t="shared" si="6"/>
        <v>758.56849582760617</v>
      </c>
      <c r="K55" s="113"/>
      <c r="L55" s="114">
        <f t="shared" si="12"/>
        <v>2528.5616527586872</v>
      </c>
      <c r="M55" s="115">
        <f t="shared" si="13"/>
        <v>49599.794707932408</v>
      </c>
      <c r="N55" s="116"/>
    </row>
    <row r="56" spans="1:14">
      <c r="B56" s="24" t="s">
        <v>153</v>
      </c>
      <c r="D56" s="113">
        <v>10</v>
      </c>
      <c r="E56" s="112">
        <f t="shared" si="9"/>
        <v>2</v>
      </c>
      <c r="F56" s="114">
        <f t="shared" si="10"/>
        <v>20</v>
      </c>
      <c r="G56" s="113">
        <f t="shared" si="11"/>
        <v>30</v>
      </c>
      <c r="H56" s="114">
        <f t="shared" si="3"/>
        <v>40</v>
      </c>
      <c r="I56" s="113">
        <f t="shared" si="5"/>
        <v>50</v>
      </c>
      <c r="J56" s="114">
        <f t="shared" si="6"/>
        <v>60</v>
      </c>
      <c r="K56" s="113"/>
      <c r="L56" s="114">
        <f t="shared" si="12"/>
        <v>200</v>
      </c>
      <c r="M56" s="115">
        <f t="shared" si="13"/>
        <v>49799.794707932408</v>
      </c>
      <c r="N56" s="116"/>
    </row>
    <row r="57" spans="1:14">
      <c r="A57" s="26"/>
      <c r="B57" s="27" t="s">
        <v>154</v>
      </c>
      <c r="C57" s="26"/>
      <c r="D57" s="113">
        <v>10</v>
      </c>
      <c r="E57" s="112">
        <f t="shared" si="9"/>
        <v>2</v>
      </c>
      <c r="F57" s="112">
        <f t="shared" si="10"/>
        <v>20</v>
      </c>
      <c r="G57" s="112">
        <f t="shared" si="11"/>
        <v>30</v>
      </c>
      <c r="H57" s="112">
        <f t="shared" si="3"/>
        <v>40</v>
      </c>
      <c r="I57" s="112">
        <f t="shared" si="5"/>
        <v>50</v>
      </c>
      <c r="J57" s="112">
        <f t="shared" si="6"/>
        <v>60</v>
      </c>
      <c r="K57" s="112"/>
      <c r="L57" s="112">
        <f t="shared" si="12"/>
        <v>200</v>
      </c>
      <c r="M57" s="117">
        <f t="shared" si="13"/>
        <v>49999.794707932408</v>
      </c>
      <c r="N57" s="117">
        <f>M57-M52</f>
        <v>7630.1955649177035</v>
      </c>
    </row>
    <row r="58" spans="1:14">
      <c r="A58" s="23">
        <v>12</v>
      </c>
      <c r="B58" s="24" t="s">
        <v>150</v>
      </c>
      <c r="D58" s="113">
        <v>10</v>
      </c>
      <c r="E58" s="112">
        <f t="shared" si="9"/>
        <v>2</v>
      </c>
      <c r="F58" s="114">
        <f t="shared" si="10"/>
        <v>20</v>
      </c>
      <c r="G58" s="113">
        <f t="shared" si="11"/>
        <v>30</v>
      </c>
      <c r="H58" s="114">
        <f t="shared" si="3"/>
        <v>40</v>
      </c>
      <c r="I58" s="113">
        <f t="shared" si="5"/>
        <v>50</v>
      </c>
      <c r="J58" s="114">
        <f t="shared" si="6"/>
        <v>60</v>
      </c>
      <c r="K58" s="113"/>
      <c r="L58" s="114">
        <f t="shared" si="12"/>
        <v>200</v>
      </c>
      <c r="M58" s="115">
        <f t="shared" si="13"/>
        <v>50199.794707932408</v>
      </c>
      <c r="N58" s="116"/>
    </row>
    <row r="59" spans="1:14">
      <c r="B59" s="24" t="s">
        <v>151</v>
      </c>
      <c r="D59" s="113">
        <v>10</v>
      </c>
      <c r="E59" s="112">
        <f t="shared" si="9"/>
        <v>2</v>
      </c>
      <c r="F59" s="114">
        <f t="shared" si="10"/>
        <v>20</v>
      </c>
      <c r="G59" s="113">
        <f t="shared" si="11"/>
        <v>30</v>
      </c>
      <c r="H59" s="114">
        <f t="shared" si="3"/>
        <v>40</v>
      </c>
      <c r="I59" s="113">
        <f t="shared" si="5"/>
        <v>50</v>
      </c>
      <c r="J59" s="114">
        <f t="shared" si="6"/>
        <v>60</v>
      </c>
      <c r="K59" s="113"/>
      <c r="L59" s="114">
        <f t="shared" si="12"/>
        <v>200</v>
      </c>
      <c r="M59" s="115">
        <f t="shared" si="13"/>
        <v>50399.794707932408</v>
      </c>
      <c r="N59" s="116"/>
    </row>
    <row r="60" spans="1:14">
      <c r="B60" s="24" t="s">
        <v>152</v>
      </c>
      <c r="D60" s="113">
        <v>10</v>
      </c>
      <c r="E60" s="112">
        <f t="shared" si="9"/>
        <v>2</v>
      </c>
      <c r="F60" s="114">
        <f t="shared" si="10"/>
        <v>20</v>
      </c>
      <c r="G60" s="113">
        <f t="shared" si="11"/>
        <v>30</v>
      </c>
      <c r="H60" s="114">
        <f t="shared" si="3"/>
        <v>40</v>
      </c>
      <c r="I60" s="113">
        <f t="shared" si="5"/>
        <v>50</v>
      </c>
      <c r="J60" s="114">
        <f t="shared" si="6"/>
        <v>60</v>
      </c>
      <c r="K60" s="113"/>
      <c r="L60" s="114">
        <f t="shared" si="12"/>
        <v>200</v>
      </c>
      <c r="M60" s="115">
        <f t="shared" si="13"/>
        <v>50599.794707932408</v>
      </c>
      <c r="N60" s="116"/>
    </row>
    <row r="61" spans="1:14">
      <c r="B61" s="24" t="s">
        <v>153</v>
      </c>
      <c r="D61" s="113">
        <v>10</v>
      </c>
      <c r="E61" s="112">
        <f t="shared" si="9"/>
        <v>2</v>
      </c>
      <c r="F61" s="114">
        <f t="shared" si="10"/>
        <v>20</v>
      </c>
      <c r="G61" s="113">
        <f t="shared" si="11"/>
        <v>30</v>
      </c>
      <c r="H61" s="114">
        <f t="shared" si="3"/>
        <v>40</v>
      </c>
      <c r="I61" s="113">
        <f t="shared" si="5"/>
        <v>50</v>
      </c>
      <c r="J61" s="114">
        <f t="shared" si="6"/>
        <v>60</v>
      </c>
      <c r="K61" s="113"/>
      <c r="L61" s="114">
        <f t="shared" si="12"/>
        <v>200</v>
      </c>
      <c r="M61" s="115">
        <f t="shared" si="13"/>
        <v>50799.794707932408</v>
      </c>
      <c r="N61" s="116"/>
    </row>
    <row r="62" spans="1:14">
      <c r="A62" s="26"/>
      <c r="B62" s="27" t="s">
        <v>154</v>
      </c>
      <c r="C62" s="26"/>
      <c r="D62" s="113">
        <v>10</v>
      </c>
      <c r="E62" s="112">
        <f t="shared" si="9"/>
        <v>2</v>
      </c>
      <c r="F62" s="112">
        <f t="shared" si="10"/>
        <v>20</v>
      </c>
      <c r="G62" s="112">
        <f t="shared" si="11"/>
        <v>30</v>
      </c>
      <c r="H62" s="112">
        <f t="shared" si="3"/>
        <v>40</v>
      </c>
      <c r="I62" s="112">
        <f t="shared" si="5"/>
        <v>50</v>
      </c>
      <c r="J62" s="112">
        <f t="shared" si="6"/>
        <v>60</v>
      </c>
      <c r="K62" s="112"/>
      <c r="L62" s="112">
        <f t="shared" si="12"/>
        <v>200</v>
      </c>
      <c r="M62" s="117">
        <f t="shared" si="13"/>
        <v>50999.794707932408</v>
      </c>
      <c r="N62" s="117">
        <f>M62-M57</f>
        <v>1000</v>
      </c>
    </row>
    <row r="63" spans="1:14">
      <c r="A63" s="23">
        <v>13</v>
      </c>
      <c r="B63" s="24" t="s">
        <v>150</v>
      </c>
      <c r="D63" s="113">
        <v>10</v>
      </c>
      <c r="E63" s="112">
        <f t="shared" si="9"/>
        <v>2</v>
      </c>
      <c r="F63" s="114">
        <f t="shared" si="10"/>
        <v>20</v>
      </c>
      <c r="G63" s="113">
        <f t="shared" si="11"/>
        <v>30</v>
      </c>
      <c r="H63" s="114">
        <f t="shared" si="3"/>
        <v>40</v>
      </c>
      <c r="I63" s="113">
        <f t="shared" si="5"/>
        <v>50</v>
      </c>
      <c r="J63" s="114">
        <f t="shared" si="6"/>
        <v>60</v>
      </c>
      <c r="K63" s="113"/>
      <c r="L63" s="114">
        <f t="shared" si="12"/>
        <v>200</v>
      </c>
      <c r="M63" s="115">
        <f t="shared" si="13"/>
        <v>51199.794707932408</v>
      </c>
      <c r="N63" s="116"/>
    </row>
    <row r="64" spans="1:14">
      <c r="B64" s="24" t="s">
        <v>151</v>
      </c>
      <c r="D64" s="113">
        <v>10</v>
      </c>
      <c r="E64" s="112">
        <f t="shared" si="9"/>
        <v>2</v>
      </c>
      <c r="F64" s="114">
        <f t="shared" si="10"/>
        <v>20</v>
      </c>
      <c r="G64" s="113">
        <f t="shared" si="11"/>
        <v>30</v>
      </c>
      <c r="H64" s="114">
        <f t="shared" si="3"/>
        <v>40</v>
      </c>
      <c r="I64" s="113">
        <f t="shared" si="5"/>
        <v>50</v>
      </c>
      <c r="J64" s="114">
        <f t="shared" si="6"/>
        <v>60</v>
      </c>
      <c r="K64" s="113"/>
      <c r="L64" s="114">
        <f t="shared" si="12"/>
        <v>200</v>
      </c>
      <c r="M64" s="115">
        <f t="shared" si="13"/>
        <v>51399.794707932408</v>
      </c>
      <c r="N64" s="116"/>
    </row>
    <row r="65" spans="1:14">
      <c r="B65" s="24" t="s">
        <v>152</v>
      </c>
      <c r="D65" s="113">
        <v>10</v>
      </c>
      <c r="E65" s="112">
        <f t="shared" si="9"/>
        <v>2</v>
      </c>
      <c r="F65" s="114">
        <f t="shared" si="10"/>
        <v>20</v>
      </c>
      <c r="G65" s="113">
        <f t="shared" si="11"/>
        <v>30</v>
      </c>
      <c r="H65" s="114">
        <f t="shared" si="3"/>
        <v>40</v>
      </c>
      <c r="I65" s="113">
        <f t="shared" si="5"/>
        <v>50</v>
      </c>
      <c r="J65" s="114">
        <f t="shared" si="6"/>
        <v>60</v>
      </c>
      <c r="K65" s="113"/>
      <c r="L65" s="114">
        <f t="shared" si="12"/>
        <v>200</v>
      </c>
      <c r="M65" s="115">
        <f t="shared" si="13"/>
        <v>51599.794707932408</v>
      </c>
      <c r="N65" s="116"/>
    </row>
    <row r="66" spans="1:14">
      <c r="B66" s="24" t="s">
        <v>153</v>
      </c>
      <c r="D66" s="113">
        <v>10</v>
      </c>
      <c r="E66" s="112">
        <f t="shared" si="9"/>
        <v>2</v>
      </c>
      <c r="F66" s="114">
        <f t="shared" si="10"/>
        <v>20</v>
      </c>
      <c r="G66" s="113">
        <f t="shared" si="11"/>
        <v>30</v>
      </c>
      <c r="H66" s="114">
        <f t="shared" si="3"/>
        <v>40</v>
      </c>
      <c r="I66" s="113">
        <f t="shared" si="5"/>
        <v>50</v>
      </c>
      <c r="J66" s="114">
        <f t="shared" si="6"/>
        <v>60</v>
      </c>
      <c r="K66" s="113"/>
      <c r="L66" s="114">
        <f t="shared" si="12"/>
        <v>200</v>
      </c>
      <c r="M66" s="115">
        <f t="shared" si="13"/>
        <v>51799.794707932408</v>
      </c>
      <c r="N66" s="116"/>
    </row>
    <row r="67" spans="1:14">
      <c r="A67" s="26"/>
      <c r="B67" s="27" t="s">
        <v>154</v>
      </c>
      <c r="C67" s="26"/>
      <c r="D67" s="113">
        <v>10</v>
      </c>
      <c r="E67" s="112">
        <f t="shared" si="9"/>
        <v>2</v>
      </c>
      <c r="F67" s="112">
        <f t="shared" si="10"/>
        <v>20</v>
      </c>
      <c r="G67" s="112">
        <f t="shared" si="11"/>
        <v>30</v>
      </c>
      <c r="H67" s="112">
        <f t="shared" ref="H67:H130" si="14">E67*$H$1</f>
        <v>40</v>
      </c>
      <c r="I67" s="112">
        <f t="shared" si="5"/>
        <v>50</v>
      </c>
      <c r="J67" s="112">
        <f t="shared" si="6"/>
        <v>60</v>
      </c>
      <c r="K67" s="112"/>
      <c r="L67" s="112">
        <f t="shared" ref="L67:L98" si="15">SUM(F67:K67)</f>
        <v>200</v>
      </c>
      <c r="M67" s="117">
        <f t="shared" si="13"/>
        <v>51999.794707932408</v>
      </c>
      <c r="N67" s="117">
        <f>M67-M62</f>
        <v>1000</v>
      </c>
    </row>
    <row r="68" spans="1:14">
      <c r="A68" s="23">
        <v>14</v>
      </c>
      <c r="B68" s="24" t="s">
        <v>150</v>
      </c>
      <c r="D68" s="113">
        <v>10</v>
      </c>
      <c r="E68" s="112">
        <f t="shared" si="9"/>
        <v>2</v>
      </c>
      <c r="F68" s="114">
        <f t="shared" si="10"/>
        <v>20</v>
      </c>
      <c r="G68" s="113">
        <f t="shared" si="11"/>
        <v>30</v>
      </c>
      <c r="H68" s="114">
        <f t="shared" si="14"/>
        <v>40</v>
      </c>
      <c r="I68" s="113">
        <f t="shared" ref="I68:I131" si="16">E68*$I$1</f>
        <v>50</v>
      </c>
      <c r="J68" s="114">
        <f t="shared" ref="J68:J131" si="17">E68*$J$1</f>
        <v>60</v>
      </c>
      <c r="K68" s="113"/>
      <c r="L68" s="114">
        <f t="shared" si="15"/>
        <v>200</v>
      </c>
      <c r="M68" s="115">
        <f t="shared" ref="M68:M131" si="18">SUM(F68:K68)+M67</f>
        <v>52199.794707932408</v>
      </c>
      <c r="N68" s="116"/>
    </row>
    <row r="69" spans="1:14">
      <c r="B69" s="24" t="s">
        <v>151</v>
      </c>
      <c r="D69" s="113">
        <v>10</v>
      </c>
      <c r="E69" s="112">
        <f t="shared" si="9"/>
        <v>2</v>
      </c>
      <c r="F69" s="114">
        <f t="shared" si="10"/>
        <v>20</v>
      </c>
      <c r="G69" s="113">
        <f t="shared" si="11"/>
        <v>30</v>
      </c>
      <c r="H69" s="114">
        <f t="shared" si="14"/>
        <v>40</v>
      </c>
      <c r="I69" s="113">
        <f t="shared" si="16"/>
        <v>50</v>
      </c>
      <c r="J69" s="114">
        <f t="shared" si="17"/>
        <v>60</v>
      </c>
      <c r="K69" s="113"/>
      <c r="L69" s="114">
        <f t="shared" si="15"/>
        <v>200</v>
      </c>
      <c r="M69" s="115">
        <f t="shared" si="18"/>
        <v>52399.794707932408</v>
      </c>
      <c r="N69" s="116"/>
    </row>
    <row r="70" spans="1:14">
      <c r="B70" s="24" t="s">
        <v>152</v>
      </c>
      <c r="D70" s="113">
        <v>10</v>
      </c>
      <c r="E70" s="112">
        <f t="shared" si="9"/>
        <v>2</v>
      </c>
      <c r="F70" s="114">
        <f t="shared" si="10"/>
        <v>20</v>
      </c>
      <c r="G70" s="113">
        <f t="shared" si="11"/>
        <v>30</v>
      </c>
      <c r="H70" s="114">
        <f t="shared" si="14"/>
        <v>40</v>
      </c>
      <c r="I70" s="113">
        <f t="shared" si="16"/>
        <v>50</v>
      </c>
      <c r="J70" s="114">
        <f t="shared" si="17"/>
        <v>60</v>
      </c>
      <c r="K70" s="113"/>
      <c r="L70" s="114">
        <f t="shared" si="15"/>
        <v>200</v>
      </c>
      <c r="M70" s="115">
        <f t="shared" si="18"/>
        <v>52599.794707932408</v>
      </c>
      <c r="N70" s="116"/>
    </row>
    <row r="71" spans="1:14">
      <c r="B71" s="24" t="s">
        <v>153</v>
      </c>
      <c r="D71" s="113">
        <v>10</v>
      </c>
      <c r="E71" s="112">
        <f t="shared" si="9"/>
        <v>2</v>
      </c>
      <c r="F71" s="114">
        <f t="shared" si="10"/>
        <v>20</v>
      </c>
      <c r="G71" s="113">
        <f t="shared" si="11"/>
        <v>30</v>
      </c>
      <c r="H71" s="114">
        <f t="shared" si="14"/>
        <v>40</v>
      </c>
      <c r="I71" s="113">
        <f t="shared" si="16"/>
        <v>50</v>
      </c>
      <c r="J71" s="114">
        <f t="shared" si="17"/>
        <v>60</v>
      </c>
      <c r="K71" s="113"/>
      <c r="L71" s="114">
        <f t="shared" si="15"/>
        <v>200</v>
      </c>
      <c r="M71" s="115">
        <f t="shared" si="18"/>
        <v>52799.794707932408</v>
      </c>
      <c r="N71" s="116"/>
    </row>
    <row r="72" spans="1:14">
      <c r="A72" s="26"/>
      <c r="B72" s="27" t="s">
        <v>154</v>
      </c>
      <c r="C72" s="26"/>
      <c r="D72" s="113">
        <v>10</v>
      </c>
      <c r="E72" s="112">
        <f t="shared" si="9"/>
        <v>2</v>
      </c>
      <c r="F72" s="112">
        <f t="shared" si="10"/>
        <v>20</v>
      </c>
      <c r="G72" s="112">
        <f t="shared" si="11"/>
        <v>30</v>
      </c>
      <c r="H72" s="112">
        <f t="shared" si="14"/>
        <v>40</v>
      </c>
      <c r="I72" s="112">
        <f t="shared" si="16"/>
        <v>50</v>
      </c>
      <c r="J72" s="112">
        <f t="shared" si="17"/>
        <v>60</v>
      </c>
      <c r="K72" s="112"/>
      <c r="L72" s="112">
        <f t="shared" si="15"/>
        <v>200</v>
      </c>
      <c r="M72" s="117">
        <f t="shared" si="18"/>
        <v>52999.794707932408</v>
      </c>
      <c r="N72" s="117">
        <f>M72-M67</f>
        <v>1000</v>
      </c>
    </row>
    <row r="73" spans="1:14">
      <c r="A73" s="23">
        <v>15</v>
      </c>
      <c r="B73" s="24" t="s">
        <v>150</v>
      </c>
      <c r="D73" s="113">
        <v>10</v>
      </c>
      <c r="E73" s="112">
        <f t="shared" si="9"/>
        <v>2</v>
      </c>
      <c r="F73" s="114">
        <f t="shared" si="10"/>
        <v>20</v>
      </c>
      <c r="G73" s="113">
        <f t="shared" si="11"/>
        <v>30</v>
      </c>
      <c r="H73" s="114">
        <f t="shared" si="14"/>
        <v>40</v>
      </c>
      <c r="I73" s="113">
        <f t="shared" si="16"/>
        <v>50</v>
      </c>
      <c r="J73" s="114">
        <f t="shared" si="17"/>
        <v>60</v>
      </c>
      <c r="K73" s="113"/>
      <c r="L73" s="114">
        <f t="shared" si="15"/>
        <v>200</v>
      </c>
      <c r="M73" s="115">
        <f t="shared" si="18"/>
        <v>53199.794707932408</v>
      </c>
      <c r="N73" s="116"/>
    </row>
    <row r="74" spans="1:14">
      <c r="B74" s="24" t="s">
        <v>151</v>
      </c>
      <c r="D74" s="113">
        <v>10</v>
      </c>
      <c r="E74" s="112">
        <f t="shared" si="9"/>
        <v>2</v>
      </c>
      <c r="F74" s="114">
        <f t="shared" si="10"/>
        <v>20</v>
      </c>
      <c r="G74" s="113">
        <f t="shared" si="11"/>
        <v>30</v>
      </c>
      <c r="H74" s="114">
        <f t="shared" si="14"/>
        <v>40</v>
      </c>
      <c r="I74" s="113">
        <f t="shared" si="16"/>
        <v>50</v>
      </c>
      <c r="J74" s="114">
        <f t="shared" si="17"/>
        <v>60</v>
      </c>
      <c r="K74" s="113"/>
      <c r="L74" s="114">
        <f t="shared" si="15"/>
        <v>200</v>
      </c>
      <c r="M74" s="115">
        <f t="shared" si="18"/>
        <v>53399.794707932408</v>
      </c>
      <c r="N74" s="116"/>
    </row>
    <row r="75" spans="1:14">
      <c r="B75" s="24" t="s">
        <v>152</v>
      </c>
      <c r="D75" s="113">
        <v>10</v>
      </c>
      <c r="E75" s="112">
        <f t="shared" si="9"/>
        <v>2</v>
      </c>
      <c r="F75" s="114">
        <f t="shared" si="10"/>
        <v>20</v>
      </c>
      <c r="G75" s="113">
        <f t="shared" si="11"/>
        <v>30</v>
      </c>
      <c r="H75" s="114">
        <f t="shared" si="14"/>
        <v>40</v>
      </c>
      <c r="I75" s="113">
        <f t="shared" si="16"/>
        <v>50</v>
      </c>
      <c r="J75" s="114">
        <f t="shared" si="17"/>
        <v>60</v>
      </c>
      <c r="K75" s="113"/>
      <c r="L75" s="114">
        <f t="shared" si="15"/>
        <v>200</v>
      </c>
      <c r="M75" s="115">
        <f t="shared" si="18"/>
        <v>53599.794707932408</v>
      </c>
      <c r="N75" s="116"/>
    </row>
    <row r="76" spans="1:14">
      <c r="B76" s="24" t="s">
        <v>153</v>
      </c>
      <c r="D76" s="113">
        <v>10</v>
      </c>
      <c r="E76" s="112">
        <f t="shared" si="9"/>
        <v>2</v>
      </c>
      <c r="F76" s="114">
        <f t="shared" si="10"/>
        <v>20</v>
      </c>
      <c r="G76" s="113">
        <f t="shared" si="11"/>
        <v>30</v>
      </c>
      <c r="H76" s="114">
        <f t="shared" si="14"/>
        <v>40</v>
      </c>
      <c r="I76" s="113">
        <f t="shared" si="16"/>
        <v>50</v>
      </c>
      <c r="J76" s="114">
        <f t="shared" si="17"/>
        <v>60</v>
      </c>
      <c r="K76" s="113"/>
      <c r="L76" s="114">
        <f t="shared" si="15"/>
        <v>200</v>
      </c>
      <c r="M76" s="115">
        <f t="shared" si="18"/>
        <v>53799.794707932408</v>
      </c>
      <c r="N76" s="116"/>
    </row>
    <row r="77" spans="1:14">
      <c r="A77" s="26"/>
      <c r="B77" s="27" t="s">
        <v>154</v>
      </c>
      <c r="C77" s="26"/>
      <c r="D77" s="113">
        <v>10</v>
      </c>
      <c r="E77" s="112">
        <f t="shared" si="9"/>
        <v>2</v>
      </c>
      <c r="F77" s="112">
        <f t="shared" si="10"/>
        <v>20</v>
      </c>
      <c r="G77" s="112">
        <f t="shared" si="11"/>
        <v>30</v>
      </c>
      <c r="H77" s="112">
        <f t="shared" si="14"/>
        <v>40</v>
      </c>
      <c r="I77" s="112">
        <f t="shared" si="16"/>
        <v>50</v>
      </c>
      <c r="J77" s="112">
        <f t="shared" si="17"/>
        <v>60</v>
      </c>
      <c r="K77" s="112"/>
      <c r="L77" s="112">
        <f t="shared" si="15"/>
        <v>200</v>
      </c>
      <c r="M77" s="117">
        <f t="shared" si="18"/>
        <v>53999.794707932408</v>
      </c>
      <c r="N77" s="117">
        <f>M77-M72</f>
        <v>1000</v>
      </c>
    </row>
    <row r="78" spans="1:14">
      <c r="A78" s="23">
        <v>16</v>
      </c>
      <c r="B78" s="24" t="s">
        <v>150</v>
      </c>
      <c r="D78" s="113">
        <v>10</v>
      </c>
      <c r="E78" s="112">
        <f t="shared" si="9"/>
        <v>2</v>
      </c>
      <c r="F78" s="114">
        <f t="shared" si="10"/>
        <v>20</v>
      </c>
      <c r="G78" s="113">
        <f t="shared" si="11"/>
        <v>30</v>
      </c>
      <c r="H78" s="114">
        <f t="shared" si="14"/>
        <v>40</v>
      </c>
      <c r="I78" s="113">
        <f t="shared" si="16"/>
        <v>50</v>
      </c>
      <c r="J78" s="114">
        <f t="shared" si="17"/>
        <v>60</v>
      </c>
      <c r="K78" s="113"/>
      <c r="L78" s="114">
        <f t="shared" si="15"/>
        <v>200</v>
      </c>
      <c r="M78" s="115">
        <f t="shared" si="18"/>
        <v>54199.794707932408</v>
      </c>
      <c r="N78" s="116"/>
    </row>
    <row r="79" spans="1:14">
      <c r="B79" s="24" t="s">
        <v>151</v>
      </c>
      <c r="D79" s="113">
        <v>10</v>
      </c>
      <c r="E79" s="112">
        <f t="shared" si="9"/>
        <v>2</v>
      </c>
      <c r="F79" s="114">
        <f t="shared" si="10"/>
        <v>20</v>
      </c>
      <c r="G79" s="113">
        <f t="shared" si="11"/>
        <v>30</v>
      </c>
      <c r="H79" s="114">
        <f t="shared" si="14"/>
        <v>40</v>
      </c>
      <c r="I79" s="113">
        <f t="shared" si="16"/>
        <v>50</v>
      </c>
      <c r="J79" s="114">
        <f t="shared" si="17"/>
        <v>60</v>
      </c>
      <c r="K79" s="113"/>
      <c r="L79" s="114">
        <f t="shared" si="15"/>
        <v>200</v>
      </c>
      <c r="M79" s="115">
        <f t="shared" si="18"/>
        <v>54399.794707932408</v>
      </c>
      <c r="N79" s="116"/>
    </row>
    <row r="80" spans="1:14">
      <c r="B80" s="24" t="s">
        <v>152</v>
      </c>
      <c r="D80" s="113">
        <v>10</v>
      </c>
      <c r="E80" s="112">
        <f t="shared" si="9"/>
        <v>2</v>
      </c>
      <c r="F80" s="114">
        <f t="shared" si="10"/>
        <v>20</v>
      </c>
      <c r="G80" s="113">
        <f t="shared" si="11"/>
        <v>30</v>
      </c>
      <c r="H80" s="114">
        <f t="shared" si="14"/>
        <v>40</v>
      </c>
      <c r="I80" s="113">
        <f t="shared" si="16"/>
        <v>50</v>
      </c>
      <c r="J80" s="114">
        <f t="shared" si="17"/>
        <v>60</v>
      </c>
      <c r="K80" s="113"/>
      <c r="L80" s="114">
        <f t="shared" si="15"/>
        <v>200</v>
      </c>
      <c r="M80" s="115">
        <f t="shared" si="18"/>
        <v>54599.794707932408</v>
      </c>
      <c r="N80" s="116"/>
    </row>
    <row r="81" spans="1:14">
      <c r="B81" s="24" t="s">
        <v>153</v>
      </c>
      <c r="D81" s="113">
        <v>10</v>
      </c>
      <c r="E81" s="112">
        <f t="shared" si="9"/>
        <v>2</v>
      </c>
      <c r="F81" s="114">
        <f t="shared" si="10"/>
        <v>20</v>
      </c>
      <c r="G81" s="113">
        <f t="shared" si="11"/>
        <v>30</v>
      </c>
      <c r="H81" s="114">
        <f t="shared" si="14"/>
        <v>40</v>
      </c>
      <c r="I81" s="113">
        <f t="shared" si="16"/>
        <v>50</v>
      </c>
      <c r="J81" s="114">
        <f t="shared" si="17"/>
        <v>60</v>
      </c>
      <c r="K81" s="113"/>
      <c r="L81" s="114">
        <f t="shared" si="15"/>
        <v>200</v>
      </c>
      <c r="M81" s="115">
        <f t="shared" si="18"/>
        <v>54799.794707932408</v>
      </c>
      <c r="N81" s="116"/>
    </row>
    <row r="82" spans="1:14">
      <c r="A82" s="26"/>
      <c r="B82" s="27" t="s">
        <v>154</v>
      </c>
      <c r="C82" s="26"/>
      <c r="D82" s="113">
        <v>10</v>
      </c>
      <c r="E82" s="112">
        <f t="shared" si="9"/>
        <v>2</v>
      </c>
      <c r="F82" s="112">
        <f t="shared" si="10"/>
        <v>20</v>
      </c>
      <c r="G82" s="112">
        <f t="shared" si="11"/>
        <v>30</v>
      </c>
      <c r="H82" s="112">
        <f t="shared" si="14"/>
        <v>40</v>
      </c>
      <c r="I82" s="112">
        <f t="shared" si="16"/>
        <v>50</v>
      </c>
      <c r="J82" s="112">
        <f t="shared" si="17"/>
        <v>60</v>
      </c>
      <c r="K82" s="112"/>
      <c r="L82" s="112">
        <f t="shared" si="15"/>
        <v>200</v>
      </c>
      <c r="M82" s="117">
        <f t="shared" si="18"/>
        <v>54999.794707932408</v>
      </c>
      <c r="N82" s="117">
        <f>M82-M77</f>
        <v>1000</v>
      </c>
    </row>
    <row r="83" spans="1:14">
      <c r="A83" s="23">
        <v>17</v>
      </c>
      <c r="B83" s="24" t="s">
        <v>150</v>
      </c>
      <c r="D83" s="113">
        <v>10</v>
      </c>
      <c r="E83" s="112">
        <f t="shared" ref="E83:E146" si="19">D83/$B$2</f>
        <v>2</v>
      </c>
      <c r="F83" s="114">
        <f t="shared" ref="F83:F146" si="20">E83*$F$1</f>
        <v>20</v>
      </c>
      <c r="G83" s="113">
        <f t="shared" si="11"/>
        <v>30</v>
      </c>
      <c r="H83" s="114">
        <f t="shared" si="14"/>
        <v>40</v>
      </c>
      <c r="I83" s="113">
        <f t="shared" si="16"/>
        <v>50</v>
      </c>
      <c r="J83" s="114">
        <f t="shared" si="17"/>
        <v>60</v>
      </c>
      <c r="K83" s="113"/>
      <c r="L83" s="114">
        <f t="shared" si="15"/>
        <v>200</v>
      </c>
      <c r="M83" s="115">
        <f t="shared" si="18"/>
        <v>55199.794707932408</v>
      </c>
      <c r="N83" s="116"/>
    </row>
    <row r="84" spans="1:14">
      <c r="B84" s="24" t="s">
        <v>151</v>
      </c>
      <c r="D84" s="113">
        <v>10</v>
      </c>
      <c r="E84" s="112">
        <f t="shared" si="19"/>
        <v>2</v>
      </c>
      <c r="F84" s="114">
        <f t="shared" si="20"/>
        <v>20</v>
      </c>
      <c r="G84" s="113">
        <f t="shared" si="11"/>
        <v>30</v>
      </c>
      <c r="H84" s="114">
        <f t="shared" si="14"/>
        <v>40</v>
      </c>
      <c r="I84" s="113">
        <f t="shared" si="16"/>
        <v>50</v>
      </c>
      <c r="J84" s="114">
        <f t="shared" si="17"/>
        <v>60</v>
      </c>
      <c r="K84" s="113"/>
      <c r="L84" s="114">
        <f t="shared" si="15"/>
        <v>200</v>
      </c>
      <c r="M84" s="115">
        <f t="shared" si="18"/>
        <v>55399.794707932408</v>
      </c>
      <c r="N84" s="116"/>
    </row>
    <row r="85" spans="1:14">
      <c r="B85" s="24" t="s">
        <v>152</v>
      </c>
      <c r="D85" s="113">
        <v>10</v>
      </c>
      <c r="E85" s="112">
        <f t="shared" si="19"/>
        <v>2</v>
      </c>
      <c r="F85" s="114">
        <f t="shared" si="20"/>
        <v>20</v>
      </c>
      <c r="G85" s="113">
        <f t="shared" si="11"/>
        <v>30</v>
      </c>
      <c r="H85" s="114">
        <f t="shared" si="14"/>
        <v>40</v>
      </c>
      <c r="I85" s="113">
        <f t="shared" si="16"/>
        <v>50</v>
      </c>
      <c r="J85" s="114">
        <f t="shared" si="17"/>
        <v>60</v>
      </c>
      <c r="K85" s="113"/>
      <c r="L85" s="114">
        <f t="shared" si="15"/>
        <v>200</v>
      </c>
      <c r="M85" s="115">
        <f t="shared" si="18"/>
        <v>55599.794707932408</v>
      </c>
      <c r="N85" s="116"/>
    </row>
    <row r="86" spans="1:14">
      <c r="B86" s="24" t="s">
        <v>153</v>
      </c>
      <c r="D86" s="113">
        <v>10</v>
      </c>
      <c r="E86" s="112">
        <f t="shared" si="19"/>
        <v>2</v>
      </c>
      <c r="F86" s="114">
        <f t="shared" si="20"/>
        <v>20</v>
      </c>
      <c r="G86" s="113">
        <f t="shared" si="11"/>
        <v>30</v>
      </c>
      <c r="H86" s="114">
        <f t="shared" si="14"/>
        <v>40</v>
      </c>
      <c r="I86" s="113">
        <f t="shared" si="16"/>
        <v>50</v>
      </c>
      <c r="J86" s="114">
        <f t="shared" si="17"/>
        <v>60</v>
      </c>
      <c r="K86" s="113"/>
      <c r="L86" s="114">
        <f t="shared" si="15"/>
        <v>200</v>
      </c>
      <c r="M86" s="115">
        <f t="shared" si="18"/>
        <v>55799.794707932408</v>
      </c>
      <c r="N86" s="116"/>
    </row>
    <row r="87" spans="1:14">
      <c r="A87" s="26"/>
      <c r="B87" s="27" t="s">
        <v>154</v>
      </c>
      <c r="C87" s="26"/>
      <c r="D87" s="113">
        <v>10</v>
      </c>
      <c r="E87" s="112">
        <f t="shared" si="19"/>
        <v>2</v>
      </c>
      <c r="F87" s="112">
        <f t="shared" si="20"/>
        <v>20</v>
      </c>
      <c r="G87" s="112">
        <f t="shared" si="11"/>
        <v>30</v>
      </c>
      <c r="H87" s="112">
        <f t="shared" si="14"/>
        <v>40</v>
      </c>
      <c r="I87" s="112">
        <f t="shared" si="16"/>
        <v>50</v>
      </c>
      <c r="J87" s="112">
        <f t="shared" si="17"/>
        <v>60</v>
      </c>
      <c r="K87" s="112"/>
      <c r="L87" s="112">
        <f t="shared" si="15"/>
        <v>200</v>
      </c>
      <c r="M87" s="117">
        <f t="shared" si="18"/>
        <v>55999.794707932408</v>
      </c>
      <c r="N87" s="117">
        <f>M87-M82</f>
        <v>1000</v>
      </c>
    </row>
    <row r="88" spans="1:14">
      <c r="A88" s="23">
        <v>18</v>
      </c>
      <c r="B88" s="24" t="s">
        <v>150</v>
      </c>
      <c r="D88" s="113">
        <v>10</v>
      </c>
      <c r="E88" s="112">
        <f t="shared" si="19"/>
        <v>2</v>
      </c>
      <c r="F88" s="114">
        <f t="shared" si="20"/>
        <v>20</v>
      </c>
      <c r="G88" s="113">
        <f t="shared" si="11"/>
        <v>30</v>
      </c>
      <c r="H88" s="114">
        <f t="shared" si="14"/>
        <v>40</v>
      </c>
      <c r="I88" s="113">
        <f t="shared" si="16"/>
        <v>50</v>
      </c>
      <c r="J88" s="114">
        <f t="shared" si="17"/>
        <v>60</v>
      </c>
      <c r="K88" s="113"/>
      <c r="L88" s="114">
        <f t="shared" si="15"/>
        <v>200</v>
      </c>
      <c r="M88" s="115">
        <f t="shared" si="18"/>
        <v>56199.794707932408</v>
      </c>
      <c r="N88" s="116"/>
    </row>
    <row r="89" spans="1:14">
      <c r="B89" s="24" t="s">
        <v>151</v>
      </c>
      <c r="D89" s="113">
        <v>10</v>
      </c>
      <c r="E89" s="112">
        <f t="shared" si="19"/>
        <v>2</v>
      </c>
      <c r="F89" s="114">
        <f t="shared" si="20"/>
        <v>20</v>
      </c>
      <c r="G89" s="113">
        <f t="shared" si="11"/>
        <v>30</v>
      </c>
      <c r="H89" s="114">
        <f t="shared" si="14"/>
        <v>40</v>
      </c>
      <c r="I89" s="113">
        <f t="shared" si="16"/>
        <v>50</v>
      </c>
      <c r="J89" s="114">
        <f t="shared" si="17"/>
        <v>60</v>
      </c>
      <c r="K89" s="113"/>
      <c r="L89" s="114">
        <f t="shared" si="15"/>
        <v>200</v>
      </c>
      <c r="M89" s="115">
        <f t="shared" si="18"/>
        <v>56399.794707932408</v>
      </c>
      <c r="N89" s="116"/>
    </row>
    <row r="90" spans="1:14">
      <c r="B90" s="24" t="s">
        <v>152</v>
      </c>
      <c r="D90" s="113">
        <v>10</v>
      </c>
      <c r="E90" s="112">
        <f t="shared" si="19"/>
        <v>2</v>
      </c>
      <c r="F90" s="114">
        <f t="shared" si="20"/>
        <v>20</v>
      </c>
      <c r="G90" s="113">
        <f t="shared" si="11"/>
        <v>30</v>
      </c>
      <c r="H90" s="114">
        <f t="shared" si="14"/>
        <v>40</v>
      </c>
      <c r="I90" s="113">
        <f t="shared" si="16"/>
        <v>50</v>
      </c>
      <c r="J90" s="114">
        <f t="shared" si="17"/>
        <v>60</v>
      </c>
      <c r="K90" s="113"/>
      <c r="L90" s="114">
        <f t="shared" si="15"/>
        <v>200</v>
      </c>
      <c r="M90" s="115">
        <f t="shared" si="18"/>
        <v>56599.794707932408</v>
      </c>
      <c r="N90" s="116"/>
    </row>
    <row r="91" spans="1:14">
      <c r="B91" s="24" t="s">
        <v>153</v>
      </c>
      <c r="D91" s="113">
        <v>10</v>
      </c>
      <c r="E91" s="112">
        <f t="shared" si="19"/>
        <v>2</v>
      </c>
      <c r="F91" s="114">
        <f t="shared" si="20"/>
        <v>20</v>
      </c>
      <c r="G91" s="113">
        <f t="shared" si="11"/>
        <v>30</v>
      </c>
      <c r="H91" s="114">
        <f t="shared" si="14"/>
        <v>40</v>
      </c>
      <c r="I91" s="113">
        <f t="shared" si="16"/>
        <v>50</v>
      </c>
      <c r="J91" s="114">
        <f t="shared" si="17"/>
        <v>60</v>
      </c>
      <c r="K91" s="113"/>
      <c r="L91" s="114">
        <f t="shared" si="15"/>
        <v>200</v>
      </c>
      <c r="M91" s="115">
        <f t="shared" si="18"/>
        <v>56799.794707932408</v>
      </c>
      <c r="N91" s="116"/>
    </row>
    <row r="92" spans="1:14">
      <c r="A92" s="26"/>
      <c r="B92" s="27" t="s">
        <v>154</v>
      </c>
      <c r="C92" s="26"/>
      <c r="D92" s="113">
        <v>10</v>
      </c>
      <c r="E92" s="112">
        <f t="shared" si="19"/>
        <v>2</v>
      </c>
      <c r="F92" s="112">
        <f t="shared" si="20"/>
        <v>20</v>
      </c>
      <c r="G92" s="112">
        <f t="shared" si="11"/>
        <v>30</v>
      </c>
      <c r="H92" s="112">
        <f t="shared" si="14"/>
        <v>40</v>
      </c>
      <c r="I92" s="112">
        <f t="shared" si="16"/>
        <v>50</v>
      </c>
      <c r="J92" s="112">
        <f t="shared" si="17"/>
        <v>60</v>
      </c>
      <c r="K92" s="112"/>
      <c r="L92" s="112">
        <f t="shared" si="15"/>
        <v>200</v>
      </c>
      <c r="M92" s="117">
        <f t="shared" si="18"/>
        <v>56999.794707932408</v>
      </c>
      <c r="N92" s="117">
        <f>M92-M87</f>
        <v>1000</v>
      </c>
    </row>
    <row r="93" spans="1:14">
      <c r="A93" s="23">
        <v>19</v>
      </c>
      <c r="B93" s="24" t="s">
        <v>150</v>
      </c>
      <c r="D93" s="113">
        <v>10</v>
      </c>
      <c r="E93" s="112">
        <f t="shared" si="19"/>
        <v>2</v>
      </c>
      <c r="F93" s="114">
        <f t="shared" si="20"/>
        <v>20</v>
      </c>
      <c r="G93" s="113">
        <f t="shared" ref="G93:G156" si="21">E93*$G$1</f>
        <v>30</v>
      </c>
      <c r="H93" s="114">
        <f t="shared" si="14"/>
        <v>40</v>
      </c>
      <c r="I93" s="113">
        <f t="shared" si="16"/>
        <v>50</v>
      </c>
      <c r="J93" s="114">
        <f t="shared" si="17"/>
        <v>60</v>
      </c>
      <c r="K93" s="113"/>
      <c r="L93" s="114">
        <f t="shared" si="15"/>
        <v>200</v>
      </c>
      <c r="M93" s="115">
        <f t="shared" si="18"/>
        <v>57199.794707932408</v>
      </c>
      <c r="N93" s="116"/>
    </row>
    <row r="94" spans="1:14">
      <c r="B94" s="24" t="s">
        <v>151</v>
      </c>
      <c r="D94" s="113">
        <v>10</v>
      </c>
      <c r="E94" s="112">
        <f t="shared" si="19"/>
        <v>2</v>
      </c>
      <c r="F94" s="114">
        <f t="shared" si="20"/>
        <v>20</v>
      </c>
      <c r="G94" s="113">
        <f t="shared" si="21"/>
        <v>30</v>
      </c>
      <c r="H94" s="114">
        <f t="shared" si="14"/>
        <v>40</v>
      </c>
      <c r="I94" s="113">
        <f t="shared" si="16"/>
        <v>50</v>
      </c>
      <c r="J94" s="114">
        <f t="shared" si="17"/>
        <v>60</v>
      </c>
      <c r="K94" s="113"/>
      <c r="L94" s="114">
        <f t="shared" si="15"/>
        <v>200</v>
      </c>
      <c r="M94" s="115">
        <f t="shared" si="18"/>
        <v>57399.794707932408</v>
      </c>
      <c r="N94" s="116"/>
    </row>
    <row r="95" spans="1:14">
      <c r="B95" s="24" t="s">
        <v>152</v>
      </c>
      <c r="D95" s="113">
        <v>10</v>
      </c>
      <c r="E95" s="112">
        <f t="shared" si="19"/>
        <v>2</v>
      </c>
      <c r="F95" s="114">
        <f t="shared" si="20"/>
        <v>20</v>
      </c>
      <c r="G95" s="113">
        <f t="shared" si="21"/>
        <v>30</v>
      </c>
      <c r="H95" s="114">
        <f t="shared" si="14"/>
        <v>40</v>
      </c>
      <c r="I95" s="113">
        <f t="shared" si="16"/>
        <v>50</v>
      </c>
      <c r="J95" s="114">
        <f t="shared" si="17"/>
        <v>60</v>
      </c>
      <c r="K95" s="113"/>
      <c r="L95" s="114">
        <f t="shared" si="15"/>
        <v>200</v>
      </c>
      <c r="M95" s="115">
        <f t="shared" si="18"/>
        <v>57599.794707932408</v>
      </c>
      <c r="N95" s="116"/>
    </row>
    <row r="96" spans="1:14">
      <c r="B96" s="24" t="s">
        <v>153</v>
      </c>
      <c r="D96" s="113">
        <v>10</v>
      </c>
      <c r="E96" s="112">
        <f t="shared" si="19"/>
        <v>2</v>
      </c>
      <c r="F96" s="114">
        <f t="shared" si="20"/>
        <v>20</v>
      </c>
      <c r="G96" s="113">
        <f t="shared" si="21"/>
        <v>30</v>
      </c>
      <c r="H96" s="114">
        <f t="shared" si="14"/>
        <v>40</v>
      </c>
      <c r="I96" s="113">
        <f t="shared" si="16"/>
        <v>50</v>
      </c>
      <c r="J96" s="114">
        <f t="shared" si="17"/>
        <v>60</v>
      </c>
      <c r="K96" s="113"/>
      <c r="L96" s="114">
        <f t="shared" si="15"/>
        <v>200</v>
      </c>
      <c r="M96" s="115">
        <f t="shared" si="18"/>
        <v>57799.794707932408</v>
      </c>
      <c r="N96" s="116"/>
    </row>
    <row r="97" spans="1:14">
      <c r="A97" s="26"/>
      <c r="B97" s="27" t="s">
        <v>154</v>
      </c>
      <c r="C97" s="26"/>
      <c r="D97" s="113">
        <v>10</v>
      </c>
      <c r="E97" s="112">
        <f t="shared" si="19"/>
        <v>2</v>
      </c>
      <c r="F97" s="112">
        <f t="shared" si="20"/>
        <v>20</v>
      </c>
      <c r="G97" s="112">
        <f t="shared" si="21"/>
        <v>30</v>
      </c>
      <c r="H97" s="112">
        <f t="shared" si="14"/>
        <v>40</v>
      </c>
      <c r="I97" s="112">
        <f t="shared" si="16"/>
        <v>50</v>
      </c>
      <c r="J97" s="112">
        <f t="shared" si="17"/>
        <v>60</v>
      </c>
      <c r="K97" s="112"/>
      <c r="L97" s="112">
        <f t="shared" si="15"/>
        <v>200</v>
      </c>
      <c r="M97" s="117">
        <f t="shared" si="18"/>
        <v>57999.794707932408</v>
      </c>
      <c r="N97" s="117">
        <f>M97-M92</f>
        <v>1000</v>
      </c>
    </row>
    <row r="98" spans="1:14">
      <c r="A98" s="23">
        <v>20</v>
      </c>
      <c r="B98" s="24" t="s">
        <v>150</v>
      </c>
      <c r="D98" s="113">
        <v>10</v>
      </c>
      <c r="E98" s="112">
        <f t="shared" si="19"/>
        <v>2</v>
      </c>
      <c r="F98" s="114">
        <f t="shared" si="20"/>
        <v>20</v>
      </c>
      <c r="G98" s="113">
        <f t="shared" si="21"/>
        <v>30</v>
      </c>
      <c r="H98" s="114">
        <f t="shared" si="14"/>
        <v>40</v>
      </c>
      <c r="I98" s="113">
        <f t="shared" si="16"/>
        <v>50</v>
      </c>
      <c r="J98" s="114">
        <f t="shared" si="17"/>
        <v>60</v>
      </c>
      <c r="K98" s="113"/>
      <c r="L98" s="114">
        <f t="shared" si="15"/>
        <v>200</v>
      </c>
      <c r="M98" s="115">
        <f t="shared" si="18"/>
        <v>58199.794707932408</v>
      </c>
      <c r="N98" s="116"/>
    </row>
    <row r="99" spans="1:14">
      <c r="B99" s="24" t="s">
        <v>151</v>
      </c>
      <c r="D99" s="113">
        <v>10</v>
      </c>
      <c r="E99" s="112">
        <f t="shared" si="19"/>
        <v>2</v>
      </c>
      <c r="F99" s="114">
        <f t="shared" si="20"/>
        <v>20</v>
      </c>
      <c r="G99" s="113">
        <f t="shared" si="21"/>
        <v>30</v>
      </c>
      <c r="H99" s="114">
        <f t="shared" si="14"/>
        <v>40</v>
      </c>
      <c r="I99" s="113">
        <f t="shared" si="16"/>
        <v>50</v>
      </c>
      <c r="J99" s="114">
        <f t="shared" si="17"/>
        <v>60</v>
      </c>
      <c r="K99" s="113"/>
      <c r="L99" s="114">
        <f t="shared" ref="L99:L162" si="22">SUM(F99:K99)</f>
        <v>200</v>
      </c>
      <c r="M99" s="115">
        <f t="shared" si="18"/>
        <v>58399.794707932408</v>
      </c>
      <c r="N99" s="116"/>
    </row>
    <row r="100" spans="1:14">
      <c r="B100" s="24" t="s">
        <v>152</v>
      </c>
      <c r="D100" s="113">
        <v>10</v>
      </c>
      <c r="E100" s="112">
        <f t="shared" si="19"/>
        <v>2</v>
      </c>
      <c r="F100" s="114">
        <f t="shared" si="20"/>
        <v>20</v>
      </c>
      <c r="G100" s="113">
        <f t="shared" si="21"/>
        <v>30</v>
      </c>
      <c r="H100" s="114">
        <f t="shared" si="14"/>
        <v>40</v>
      </c>
      <c r="I100" s="113">
        <f t="shared" si="16"/>
        <v>50</v>
      </c>
      <c r="J100" s="114">
        <f t="shared" si="17"/>
        <v>60</v>
      </c>
      <c r="K100" s="113"/>
      <c r="L100" s="114">
        <f t="shared" si="22"/>
        <v>200</v>
      </c>
      <c r="M100" s="115">
        <f t="shared" si="18"/>
        <v>58599.794707932408</v>
      </c>
      <c r="N100" s="116"/>
    </row>
    <row r="101" spans="1:14">
      <c r="B101" s="24" t="s">
        <v>153</v>
      </c>
      <c r="D101" s="113">
        <v>10</v>
      </c>
      <c r="E101" s="112">
        <f t="shared" si="19"/>
        <v>2</v>
      </c>
      <c r="F101" s="114">
        <f t="shared" si="20"/>
        <v>20</v>
      </c>
      <c r="G101" s="113">
        <f t="shared" si="21"/>
        <v>30</v>
      </c>
      <c r="H101" s="114">
        <f t="shared" si="14"/>
        <v>40</v>
      </c>
      <c r="I101" s="113">
        <f t="shared" si="16"/>
        <v>50</v>
      </c>
      <c r="J101" s="114">
        <f t="shared" si="17"/>
        <v>60</v>
      </c>
      <c r="K101" s="113"/>
      <c r="L101" s="114">
        <f t="shared" si="22"/>
        <v>200</v>
      </c>
      <c r="M101" s="115">
        <f t="shared" si="18"/>
        <v>58799.794707932408</v>
      </c>
      <c r="N101" s="116"/>
    </row>
    <row r="102" spans="1:14">
      <c r="A102" s="26"/>
      <c r="B102" s="27" t="s">
        <v>154</v>
      </c>
      <c r="C102" s="26"/>
      <c r="D102" s="113">
        <v>10</v>
      </c>
      <c r="E102" s="112">
        <f t="shared" si="19"/>
        <v>2</v>
      </c>
      <c r="F102" s="112">
        <f t="shared" si="20"/>
        <v>20</v>
      </c>
      <c r="G102" s="112">
        <f t="shared" si="21"/>
        <v>30</v>
      </c>
      <c r="H102" s="112">
        <f t="shared" si="14"/>
        <v>40</v>
      </c>
      <c r="I102" s="112">
        <f t="shared" si="16"/>
        <v>50</v>
      </c>
      <c r="J102" s="112">
        <f t="shared" si="17"/>
        <v>60</v>
      </c>
      <c r="K102" s="112"/>
      <c r="L102" s="112">
        <f t="shared" si="22"/>
        <v>200</v>
      </c>
      <c r="M102" s="117">
        <f t="shared" si="18"/>
        <v>58999.794707932408</v>
      </c>
      <c r="N102" s="117">
        <f>M102-M97</f>
        <v>1000</v>
      </c>
    </row>
    <row r="103" spans="1:14">
      <c r="A103" s="23">
        <v>21</v>
      </c>
      <c r="B103" s="24" t="s">
        <v>150</v>
      </c>
      <c r="D103" s="113">
        <v>10</v>
      </c>
      <c r="E103" s="112">
        <f t="shared" si="19"/>
        <v>2</v>
      </c>
      <c r="F103" s="114">
        <f t="shared" si="20"/>
        <v>20</v>
      </c>
      <c r="G103" s="113">
        <f t="shared" si="21"/>
        <v>30</v>
      </c>
      <c r="H103" s="114">
        <f t="shared" si="14"/>
        <v>40</v>
      </c>
      <c r="I103" s="113">
        <f t="shared" si="16"/>
        <v>50</v>
      </c>
      <c r="J103" s="114">
        <f t="shared" si="17"/>
        <v>60</v>
      </c>
      <c r="K103" s="113"/>
      <c r="L103" s="114">
        <f t="shared" si="22"/>
        <v>200</v>
      </c>
      <c r="M103" s="115">
        <f t="shared" si="18"/>
        <v>59199.794707932408</v>
      </c>
      <c r="N103" s="116"/>
    </row>
    <row r="104" spans="1:14">
      <c r="B104" s="24" t="s">
        <v>151</v>
      </c>
      <c r="D104" s="113">
        <v>10</v>
      </c>
      <c r="E104" s="112">
        <f t="shared" si="19"/>
        <v>2</v>
      </c>
      <c r="F104" s="114">
        <f t="shared" si="20"/>
        <v>20</v>
      </c>
      <c r="G104" s="113">
        <f t="shared" si="21"/>
        <v>30</v>
      </c>
      <c r="H104" s="114">
        <f t="shared" si="14"/>
        <v>40</v>
      </c>
      <c r="I104" s="113">
        <f t="shared" si="16"/>
        <v>50</v>
      </c>
      <c r="J104" s="114">
        <f t="shared" si="17"/>
        <v>60</v>
      </c>
      <c r="K104" s="113"/>
      <c r="L104" s="114">
        <f t="shared" si="22"/>
        <v>200</v>
      </c>
      <c r="M104" s="115">
        <f t="shared" si="18"/>
        <v>59399.794707932408</v>
      </c>
      <c r="N104" s="116"/>
    </row>
    <row r="105" spans="1:14">
      <c r="B105" s="24" t="s">
        <v>152</v>
      </c>
      <c r="D105" s="113">
        <v>10</v>
      </c>
      <c r="E105" s="112">
        <f t="shared" si="19"/>
        <v>2</v>
      </c>
      <c r="F105" s="114">
        <f t="shared" si="20"/>
        <v>20</v>
      </c>
      <c r="G105" s="113">
        <f t="shared" si="21"/>
        <v>30</v>
      </c>
      <c r="H105" s="114">
        <f t="shared" si="14"/>
        <v>40</v>
      </c>
      <c r="I105" s="113">
        <f t="shared" si="16"/>
        <v>50</v>
      </c>
      <c r="J105" s="114">
        <f t="shared" si="17"/>
        <v>60</v>
      </c>
      <c r="K105" s="113"/>
      <c r="L105" s="114">
        <f t="shared" si="22"/>
        <v>200</v>
      </c>
      <c r="M105" s="115">
        <f t="shared" si="18"/>
        <v>59599.794707932408</v>
      </c>
      <c r="N105" s="116"/>
    </row>
    <row r="106" spans="1:14">
      <c r="B106" s="24" t="s">
        <v>153</v>
      </c>
      <c r="D106" s="113">
        <v>10</v>
      </c>
      <c r="E106" s="112">
        <f t="shared" si="19"/>
        <v>2</v>
      </c>
      <c r="F106" s="114">
        <f t="shared" si="20"/>
        <v>20</v>
      </c>
      <c r="G106" s="113">
        <f t="shared" si="21"/>
        <v>30</v>
      </c>
      <c r="H106" s="114">
        <f t="shared" si="14"/>
        <v>40</v>
      </c>
      <c r="I106" s="113">
        <f t="shared" si="16"/>
        <v>50</v>
      </c>
      <c r="J106" s="114">
        <f t="shared" si="17"/>
        <v>60</v>
      </c>
      <c r="K106" s="113"/>
      <c r="L106" s="114">
        <f t="shared" si="22"/>
        <v>200</v>
      </c>
      <c r="M106" s="115">
        <f t="shared" si="18"/>
        <v>59799.794707932408</v>
      </c>
      <c r="N106" s="116"/>
    </row>
    <row r="107" spans="1:14">
      <c r="A107" s="26"/>
      <c r="B107" s="27" t="s">
        <v>154</v>
      </c>
      <c r="C107" s="26"/>
      <c r="D107" s="113">
        <v>10</v>
      </c>
      <c r="E107" s="112">
        <f t="shared" si="19"/>
        <v>2</v>
      </c>
      <c r="F107" s="112">
        <f t="shared" si="20"/>
        <v>20</v>
      </c>
      <c r="G107" s="112">
        <f t="shared" si="21"/>
        <v>30</v>
      </c>
      <c r="H107" s="112">
        <f t="shared" si="14"/>
        <v>40</v>
      </c>
      <c r="I107" s="112">
        <f t="shared" si="16"/>
        <v>50</v>
      </c>
      <c r="J107" s="112">
        <f t="shared" si="17"/>
        <v>60</v>
      </c>
      <c r="K107" s="112"/>
      <c r="L107" s="112">
        <f t="shared" si="22"/>
        <v>200</v>
      </c>
      <c r="M107" s="117">
        <f t="shared" si="18"/>
        <v>59999.794707932408</v>
      </c>
      <c r="N107" s="117">
        <f>M107-M102</f>
        <v>1000</v>
      </c>
    </row>
    <row r="108" spans="1:14">
      <c r="A108" s="23">
        <v>22</v>
      </c>
      <c r="B108" s="24" t="s">
        <v>150</v>
      </c>
      <c r="D108" s="113">
        <v>10</v>
      </c>
      <c r="E108" s="112">
        <f t="shared" si="19"/>
        <v>2</v>
      </c>
      <c r="F108" s="114">
        <f t="shared" si="20"/>
        <v>20</v>
      </c>
      <c r="G108" s="113">
        <f t="shared" si="21"/>
        <v>30</v>
      </c>
      <c r="H108" s="114">
        <f t="shared" si="14"/>
        <v>40</v>
      </c>
      <c r="I108" s="113">
        <f t="shared" si="16"/>
        <v>50</v>
      </c>
      <c r="J108" s="114">
        <f t="shared" si="17"/>
        <v>60</v>
      </c>
      <c r="K108" s="113"/>
      <c r="L108" s="114">
        <f t="shared" si="22"/>
        <v>200</v>
      </c>
      <c r="M108" s="115">
        <f t="shared" si="18"/>
        <v>60199.794707932408</v>
      </c>
      <c r="N108" s="116"/>
    </row>
    <row r="109" spans="1:14">
      <c r="B109" s="24" t="s">
        <v>151</v>
      </c>
      <c r="D109" s="113">
        <v>10</v>
      </c>
      <c r="E109" s="112">
        <f t="shared" si="19"/>
        <v>2</v>
      </c>
      <c r="F109" s="114">
        <f t="shared" si="20"/>
        <v>20</v>
      </c>
      <c r="G109" s="113">
        <f t="shared" si="21"/>
        <v>30</v>
      </c>
      <c r="H109" s="114">
        <f t="shared" si="14"/>
        <v>40</v>
      </c>
      <c r="I109" s="113">
        <f t="shared" si="16"/>
        <v>50</v>
      </c>
      <c r="J109" s="114">
        <f t="shared" si="17"/>
        <v>60</v>
      </c>
      <c r="K109" s="113"/>
      <c r="L109" s="114">
        <f t="shared" si="22"/>
        <v>200</v>
      </c>
      <c r="M109" s="115">
        <f t="shared" si="18"/>
        <v>60399.794707932408</v>
      </c>
      <c r="N109" s="116"/>
    </row>
    <row r="110" spans="1:14">
      <c r="B110" s="24" t="s">
        <v>152</v>
      </c>
      <c r="D110" s="113">
        <v>10</v>
      </c>
      <c r="E110" s="112">
        <f t="shared" si="19"/>
        <v>2</v>
      </c>
      <c r="F110" s="114">
        <f t="shared" si="20"/>
        <v>20</v>
      </c>
      <c r="G110" s="113">
        <f t="shared" si="21"/>
        <v>30</v>
      </c>
      <c r="H110" s="114">
        <f t="shared" si="14"/>
        <v>40</v>
      </c>
      <c r="I110" s="113">
        <f t="shared" si="16"/>
        <v>50</v>
      </c>
      <c r="J110" s="114">
        <f t="shared" si="17"/>
        <v>60</v>
      </c>
      <c r="K110" s="113"/>
      <c r="L110" s="114">
        <f t="shared" si="22"/>
        <v>200</v>
      </c>
      <c r="M110" s="115">
        <f t="shared" si="18"/>
        <v>60599.794707932408</v>
      </c>
      <c r="N110" s="116"/>
    </row>
    <row r="111" spans="1:14">
      <c r="B111" s="24" t="s">
        <v>153</v>
      </c>
      <c r="D111" s="113">
        <v>10</v>
      </c>
      <c r="E111" s="112">
        <f t="shared" si="19"/>
        <v>2</v>
      </c>
      <c r="F111" s="114">
        <f t="shared" si="20"/>
        <v>20</v>
      </c>
      <c r="G111" s="113">
        <f t="shared" si="21"/>
        <v>30</v>
      </c>
      <c r="H111" s="114">
        <f t="shared" si="14"/>
        <v>40</v>
      </c>
      <c r="I111" s="113">
        <f t="shared" si="16"/>
        <v>50</v>
      </c>
      <c r="J111" s="114">
        <f t="shared" si="17"/>
        <v>60</v>
      </c>
      <c r="K111" s="113"/>
      <c r="L111" s="114">
        <f t="shared" si="22"/>
        <v>200</v>
      </c>
      <c r="M111" s="115">
        <f t="shared" si="18"/>
        <v>60799.794707932408</v>
      </c>
      <c r="N111" s="116"/>
    </row>
    <row r="112" spans="1:14">
      <c r="A112" s="26"/>
      <c r="B112" s="27" t="s">
        <v>154</v>
      </c>
      <c r="C112" s="26"/>
      <c r="D112" s="113">
        <v>10</v>
      </c>
      <c r="E112" s="112">
        <f t="shared" si="19"/>
        <v>2</v>
      </c>
      <c r="F112" s="112">
        <f t="shared" si="20"/>
        <v>20</v>
      </c>
      <c r="G112" s="112">
        <f t="shared" si="21"/>
        <v>30</v>
      </c>
      <c r="H112" s="112">
        <f t="shared" si="14"/>
        <v>40</v>
      </c>
      <c r="I112" s="112">
        <f t="shared" si="16"/>
        <v>50</v>
      </c>
      <c r="J112" s="112">
        <f t="shared" si="17"/>
        <v>60</v>
      </c>
      <c r="K112" s="112"/>
      <c r="L112" s="112">
        <f t="shared" si="22"/>
        <v>200</v>
      </c>
      <c r="M112" s="117">
        <f t="shared" si="18"/>
        <v>60999.794707932408</v>
      </c>
      <c r="N112" s="117">
        <f>M112-M107</f>
        <v>1000</v>
      </c>
    </row>
    <row r="113" spans="1:14">
      <c r="A113" s="23">
        <v>23</v>
      </c>
      <c r="B113" s="24" t="s">
        <v>150</v>
      </c>
      <c r="D113" s="113">
        <v>10</v>
      </c>
      <c r="E113" s="112">
        <f t="shared" si="19"/>
        <v>2</v>
      </c>
      <c r="F113" s="114">
        <f t="shared" si="20"/>
        <v>20</v>
      </c>
      <c r="G113" s="113">
        <f t="shared" si="21"/>
        <v>30</v>
      </c>
      <c r="H113" s="114">
        <f t="shared" si="14"/>
        <v>40</v>
      </c>
      <c r="I113" s="113">
        <f t="shared" si="16"/>
        <v>50</v>
      </c>
      <c r="J113" s="114">
        <f t="shared" si="17"/>
        <v>60</v>
      </c>
      <c r="K113" s="113"/>
      <c r="L113" s="114">
        <f t="shared" si="22"/>
        <v>200</v>
      </c>
      <c r="M113" s="115">
        <f t="shared" si="18"/>
        <v>61199.794707932408</v>
      </c>
      <c r="N113" s="116"/>
    </row>
    <row r="114" spans="1:14">
      <c r="B114" s="24" t="s">
        <v>151</v>
      </c>
      <c r="D114" s="113">
        <v>10</v>
      </c>
      <c r="E114" s="112">
        <f t="shared" si="19"/>
        <v>2</v>
      </c>
      <c r="F114" s="114">
        <f t="shared" si="20"/>
        <v>20</v>
      </c>
      <c r="G114" s="113">
        <f t="shared" si="21"/>
        <v>30</v>
      </c>
      <c r="H114" s="114">
        <f t="shared" si="14"/>
        <v>40</v>
      </c>
      <c r="I114" s="113">
        <f t="shared" si="16"/>
        <v>50</v>
      </c>
      <c r="J114" s="114">
        <f t="shared" si="17"/>
        <v>60</v>
      </c>
      <c r="K114" s="113"/>
      <c r="L114" s="114">
        <f t="shared" si="22"/>
        <v>200</v>
      </c>
      <c r="M114" s="115">
        <f t="shared" si="18"/>
        <v>61399.794707932408</v>
      </c>
      <c r="N114" s="116"/>
    </row>
    <row r="115" spans="1:14">
      <c r="B115" s="24" t="s">
        <v>152</v>
      </c>
      <c r="D115" s="113">
        <v>10</v>
      </c>
      <c r="E115" s="112">
        <f t="shared" si="19"/>
        <v>2</v>
      </c>
      <c r="F115" s="114">
        <f t="shared" si="20"/>
        <v>20</v>
      </c>
      <c r="G115" s="113">
        <f t="shared" si="21"/>
        <v>30</v>
      </c>
      <c r="H115" s="114">
        <f t="shared" si="14"/>
        <v>40</v>
      </c>
      <c r="I115" s="113">
        <f t="shared" si="16"/>
        <v>50</v>
      </c>
      <c r="J115" s="114">
        <f t="shared" si="17"/>
        <v>60</v>
      </c>
      <c r="K115" s="113"/>
      <c r="L115" s="114">
        <f t="shared" si="22"/>
        <v>200</v>
      </c>
      <c r="M115" s="115">
        <f t="shared" si="18"/>
        <v>61599.794707932408</v>
      </c>
      <c r="N115" s="116"/>
    </row>
    <row r="116" spans="1:14">
      <c r="B116" s="24" t="s">
        <v>153</v>
      </c>
      <c r="D116" s="113">
        <v>10</v>
      </c>
      <c r="E116" s="112">
        <f t="shared" si="19"/>
        <v>2</v>
      </c>
      <c r="F116" s="114">
        <f t="shared" si="20"/>
        <v>20</v>
      </c>
      <c r="G116" s="113">
        <f t="shared" si="21"/>
        <v>30</v>
      </c>
      <c r="H116" s="114">
        <f t="shared" si="14"/>
        <v>40</v>
      </c>
      <c r="I116" s="113">
        <f t="shared" si="16"/>
        <v>50</v>
      </c>
      <c r="J116" s="114">
        <f t="shared" si="17"/>
        <v>60</v>
      </c>
      <c r="K116" s="113"/>
      <c r="L116" s="114">
        <f t="shared" si="22"/>
        <v>200</v>
      </c>
      <c r="M116" s="115">
        <f t="shared" si="18"/>
        <v>61799.794707932408</v>
      </c>
      <c r="N116" s="116"/>
    </row>
    <row r="117" spans="1:14">
      <c r="A117" s="28"/>
      <c r="B117" s="28" t="s">
        <v>154</v>
      </c>
      <c r="C117" s="28"/>
      <c r="D117" s="113">
        <v>10</v>
      </c>
      <c r="E117" s="112">
        <f t="shared" si="19"/>
        <v>2</v>
      </c>
      <c r="F117" s="112">
        <f t="shared" si="20"/>
        <v>20</v>
      </c>
      <c r="G117" s="112">
        <f t="shared" si="21"/>
        <v>30</v>
      </c>
      <c r="H117" s="112">
        <f t="shared" si="14"/>
        <v>40</v>
      </c>
      <c r="I117" s="112">
        <f t="shared" si="16"/>
        <v>50</v>
      </c>
      <c r="J117" s="112">
        <f t="shared" si="17"/>
        <v>60</v>
      </c>
      <c r="K117" s="112"/>
      <c r="L117" s="112">
        <f t="shared" si="22"/>
        <v>200</v>
      </c>
      <c r="M117" s="117">
        <f t="shared" si="18"/>
        <v>61999.794707932408</v>
      </c>
      <c r="N117" s="117">
        <f>M117-M112</f>
        <v>1000</v>
      </c>
    </row>
    <row r="118" spans="1:14">
      <c r="A118" s="23">
        <v>24</v>
      </c>
      <c r="B118" s="24" t="s">
        <v>150</v>
      </c>
      <c r="D118" s="113">
        <v>10</v>
      </c>
      <c r="E118" s="112">
        <f t="shared" si="19"/>
        <v>2</v>
      </c>
      <c r="F118" s="114">
        <f t="shared" si="20"/>
        <v>20</v>
      </c>
      <c r="G118" s="113">
        <f t="shared" si="21"/>
        <v>30</v>
      </c>
      <c r="H118" s="114">
        <f t="shared" si="14"/>
        <v>40</v>
      </c>
      <c r="I118" s="113">
        <f t="shared" si="16"/>
        <v>50</v>
      </c>
      <c r="J118" s="114">
        <f t="shared" si="17"/>
        <v>60</v>
      </c>
      <c r="K118" s="113"/>
      <c r="L118" s="114">
        <f t="shared" si="22"/>
        <v>200</v>
      </c>
      <c r="M118" s="115">
        <f t="shared" si="18"/>
        <v>62199.794707932408</v>
      </c>
      <c r="N118" s="116"/>
    </row>
    <row r="119" spans="1:14">
      <c r="B119" s="24" t="s">
        <v>151</v>
      </c>
      <c r="D119" s="113">
        <v>10</v>
      </c>
      <c r="E119" s="112">
        <f t="shared" si="19"/>
        <v>2</v>
      </c>
      <c r="F119" s="114">
        <f t="shared" si="20"/>
        <v>20</v>
      </c>
      <c r="G119" s="113">
        <f t="shared" si="21"/>
        <v>30</v>
      </c>
      <c r="H119" s="114">
        <f t="shared" si="14"/>
        <v>40</v>
      </c>
      <c r="I119" s="113">
        <f t="shared" si="16"/>
        <v>50</v>
      </c>
      <c r="J119" s="114">
        <f t="shared" si="17"/>
        <v>60</v>
      </c>
      <c r="K119" s="113"/>
      <c r="L119" s="114">
        <f t="shared" si="22"/>
        <v>200</v>
      </c>
      <c r="M119" s="115">
        <f t="shared" si="18"/>
        <v>62399.794707932408</v>
      </c>
      <c r="N119" s="116"/>
    </row>
    <row r="120" spans="1:14">
      <c r="B120" s="24" t="s">
        <v>152</v>
      </c>
      <c r="D120" s="113">
        <v>10</v>
      </c>
      <c r="E120" s="112">
        <f t="shared" si="19"/>
        <v>2</v>
      </c>
      <c r="F120" s="114">
        <f t="shared" si="20"/>
        <v>20</v>
      </c>
      <c r="G120" s="113">
        <f t="shared" si="21"/>
        <v>30</v>
      </c>
      <c r="H120" s="114">
        <f t="shared" si="14"/>
        <v>40</v>
      </c>
      <c r="I120" s="113">
        <f t="shared" si="16"/>
        <v>50</v>
      </c>
      <c r="J120" s="114">
        <f t="shared" si="17"/>
        <v>60</v>
      </c>
      <c r="K120" s="113"/>
      <c r="L120" s="114">
        <f t="shared" si="22"/>
        <v>200</v>
      </c>
      <c r="M120" s="115">
        <f t="shared" si="18"/>
        <v>62599.794707932408</v>
      </c>
      <c r="N120" s="116"/>
    </row>
    <row r="121" spans="1:14">
      <c r="B121" s="24" t="s">
        <v>153</v>
      </c>
      <c r="D121" s="113">
        <v>10</v>
      </c>
      <c r="E121" s="112">
        <f t="shared" si="19"/>
        <v>2</v>
      </c>
      <c r="F121" s="114">
        <f t="shared" si="20"/>
        <v>20</v>
      </c>
      <c r="G121" s="113">
        <f t="shared" si="21"/>
        <v>30</v>
      </c>
      <c r="H121" s="114">
        <f t="shared" si="14"/>
        <v>40</v>
      </c>
      <c r="I121" s="113">
        <f t="shared" si="16"/>
        <v>50</v>
      </c>
      <c r="J121" s="114">
        <f t="shared" si="17"/>
        <v>60</v>
      </c>
      <c r="K121" s="113"/>
      <c r="L121" s="114">
        <f t="shared" si="22"/>
        <v>200</v>
      </c>
      <c r="M121" s="115">
        <f t="shared" si="18"/>
        <v>62799.794707932408</v>
      </c>
      <c r="N121" s="116"/>
    </row>
    <row r="122" spans="1:14">
      <c r="A122" s="26"/>
      <c r="B122" s="27" t="s">
        <v>154</v>
      </c>
      <c r="C122" s="26"/>
      <c r="D122" s="113">
        <v>10</v>
      </c>
      <c r="E122" s="112">
        <f t="shared" si="19"/>
        <v>2</v>
      </c>
      <c r="F122" s="112">
        <f t="shared" si="20"/>
        <v>20</v>
      </c>
      <c r="G122" s="112">
        <f t="shared" si="21"/>
        <v>30</v>
      </c>
      <c r="H122" s="112">
        <f t="shared" si="14"/>
        <v>40</v>
      </c>
      <c r="I122" s="112">
        <f t="shared" si="16"/>
        <v>50</v>
      </c>
      <c r="J122" s="112">
        <f t="shared" si="17"/>
        <v>60</v>
      </c>
      <c r="K122" s="112"/>
      <c r="L122" s="112">
        <f t="shared" si="22"/>
        <v>200</v>
      </c>
      <c r="M122" s="117">
        <f t="shared" si="18"/>
        <v>62999.794707932408</v>
      </c>
      <c r="N122" s="117">
        <f>M122-M117</f>
        <v>1000</v>
      </c>
    </row>
    <row r="123" spans="1:14">
      <c r="A123" s="23">
        <v>25</v>
      </c>
      <c r="B123" s="24" t="s">
        <v>150</v>
      </c>
      <c r="D123" s="113">
        <v>10</v>
      </c>
      <c r="E123" s="112">
        <f t="shared" si="19"/>
        <v>2</v>
      </c>
      <c r="F123" s="114">
        <f t="shared" si="20"/>
        <v>20</v>
      </c>
      <c r="G123" s="113">
        <f t="shared" si="21"/>
        <v>30</v>
      </c>
      <c r="H123" s="114">
        <f t="shared" si="14"/>
        <v>40</v>
      </c>
      <c r="I123" s="113">
        <f t="shared" si="16"/>
        <v>50</v>
      </c>
      <c r="J123" s="114">
        <f t="shared" si="17"/>
        <v>60</v>
      </c>
      <c r="K123" s="113"/>
      <c r="L123" s="114">
        <f t="shared" si="22"/>
        <v>200</v>
      </c>
      <c r="M123" s="115">
        <f t="shared" si="18"/>
        <v>63199.794707932408</v>
      </c>
      <c r="N123" s="116"/>
    </row>
    <row r="124" spans="1:14">
      <c r="B124" s="24" t="s">
        <v>151</v>
      </c>
      <c r="D124" s="113">
        <v>10</v>
      </c>
      <c r="E124" s="112">
        <f t="shared" si="19"/>
        <v>2</v>
      </c>
      <c r="F124" s="114">
        <f t="shared" si="20"/>
        <v>20</v>
      </c>
      <c r="G124" s="113">
        <f t="shared" si="21"/>
        <v>30</v>
      </c>
      <c r="H124" s="114">
        <f t="shared" si="14"/>
        <v>40</v>
      </c>
      <c r="I124" s="113">
        <f t="shared" si="16"/>
        <v>50</v>
      </c>
      <c r="J124" s="114">
        <f t="shared" si="17"/>
        <v>60</v>
      </c>
      <c r="K124" s="113"/>
      <c r="L124" s="114">
        <f t="shared" si="22"/>
        <v>200</v>
      </c>
      <c r="M124" s="115">
        <f t="shared" si="18"/>
        <v>63399.794707932408</v>
      </c>
      <c r="N124" s="116"/>
    </row>
    <row r="125" spans="1:14">
      <c r="B125" s="24" t="s">
        <v>152</v>
      </c>
      <c r="D125" s="113">
        <v>10</v>
      </c>
      <c r="E125" s="112">
        <f t="shared" si="19"/>
        <v>2</v>
      </c>
      <c r="F125" s="114">
        <f t="shared" si="20"/>
        <v>20</v>
      </c>
      <c r="G125" s="113">
        <f t="shared" si="21"/>
        <v>30</v>
      </c>
      <c r="H125" s="114">
        <f t="shared" si="14"/>
        <v>40</v>
      </c>
      <c r="I125" s="113">
        <f t="shared" si="16"/>
        <v>50</v>
      </c>
      <c r="J125" s="114">
        <f t="shared" si="17"/>
        <v>60</v>
      </c>
      <c r="K125" s="113"/>
      <c r="L125" s="114">
        <f t="shared" si="22"/>
        <v>200</v>
      </c>
      <c r="M125" s="115">
        <f t="shared" si="18"/>
        <v>63599.794707932408</v>
      </c>
      <c r="N125" s="116"/>
    </row>
    <row r="126" spans="1:14">
      <c r="B126" s="24" t="s">
        <v>153</v>
      </c>
      <c r="D126" s="113">
        <v>10</v>
      </c>
      <c r="E126" s="112">
        <f t="shared" si="19"/>
        <v>2</v>
      </c>
      <c r="F126" s="114">
        <f t="shared" si="20"/>
        <v>20</v>
      </c>
      <c r="G126" s="113">
        <f t="shared" si="21"/>
        <v>30</v>
      </c>
      <c r="H126" s="114">
        <f t="shared" si="14"/>
        <v>40</v>
      </c>
      <c r="I126" s="113">
        <f t="shared" si="16"/>
        <v>50</v>
      </c>
      <c r="J126" s="114">
        <f t="shared" si="17"/>
        <v>60</v>
      </c>
      <c r="K126" s="113"/>
      <c r="L126" s="114">
        <f t="shared" si="22"/>
        <v>200</v>
      </c>
      <c r="M126" s="115">
        <f t="shared" si="18"/>
        <v>63799.794707932408</v>
      </c>
      <c r="N126" s="116"/>
    </row>
    <row r="127" spans="1:14">
      <c r="A127" s="26"/>
      <c r="B127" s="27" t="s">
        <v>154</v>
      </c>
      <c r="C127" s="26"/>
      <c r="D127" s="113">
        <v>10</v>
      </c>
      <c r="E127" s="112">
        <f t="shared" si="19"/>
        <v>2</v>
      </c>
      <c r="F127" s="112">
        <f t="shared" si="20"/>
        <v>20</v>
      </c>
      <c r="G127" s="112">
        <f t="shared" si="21"/>
        <v>30</v>
      </c>
      <c r="H127" s="112">
        <f t="shared" si="14"/>
        <v>40</v>
      </c>
      <c r="I127" s="112">
        <f t="shared" si="16"/>
        <v>50</v>
      </c>
      <c r="J127" s="112">
        <f t="shared" si="17"/>
        <v>60</v>
      </c>
      <c r="K127" s="112"/>
      <c r="L127" s="112">
        <f t="shared" si="22"/>
        <v>200</v>
      </c>
      <c r="M127" s="117">
        <f t="shared" si="18"/>
        <v>63999.794707932408</v>
      </c>
      <c r="N127" s="117">
        <f>M127-M122</f>
        <v>1000</v>
      </c>
    </row>
    <row r="128" spans="1:14">
      <c r="A128" s="23">
        <v>26</v>
      </c>
      <c r="B128" s="24" t="s">
        <v>150</v>
      </c>
      <c r="D128" s="113">
        <v>10</v>
      </c>
      <c r="E128" s="112">
        <f t="shared" si="19"/>
        <v>2</v>
      </c>
      <c r="F128" s="114">
        <f t="shared" si="20"/>
        <v>20</v>
      </c>
      <c r="G128" s="113">
        <f t="shared" si="21"/>
        <v>30</v>
      </c>
      <c r="H128" s="114">
        <f t="shared" si="14"/>
        <v>40</v>
      </c>
      <c r="I128" s="113">
        <f t="shared" si="16"/>
        <v>50</v>
      </c>
      <c r="J128" s="114">
        <f t="shared" si="17"/>
        <v>60</v>
      </c>
      <c r="K128" s="113"/>
      <c r="L128" s="114">
        <f t="shared" si="22"/>
        <v>200</v>
      </c>
      <c r="M128" s="115">
        <f t="shared" si="18"/>
        <v>64199.794707932408</v>
      </c>
      <c r="N128" s="116"/>
    </row>
    <row r="129" spans="1:14">
      <c r="B129" s="24" t="s">
        <v>151</v>
      </c>
      <c r="D129" s="113">
        <v>10</v>
      </c>
      <c r="E129" s="112">
        <f t="shared" si="19"/>
        <v>2</v>
      </c>
      <c r="F129" s="114">
        <f t="shared" si="20"/>
        <v>20</v>
      </c>
      <c r="G129" s="113">
        <f t="shared" si="21"/>
        <v>30</v>
      </c>
      <c r="H129" s="114">
        <f t="shared" si="14"/>
        <v>40</v>
      </c>
      <c r="I129" s="113">
        <f t="shared" si="16"/>
        <v>50</v>
      </c>
      <c r="J129" s="114">
        <f t="shared" si="17"/>
        <v>60</v>
      </c>
      <c r="K129" s="113"/>
      <c r="L129" s="114">
        <f t="shared" si="22"/>
        <v>200</v>
      </c>
      <c r="M129" s="115">
        <f t="shared" si="18"/>
        <v>64399.794707932408</v>
      </c>
      <c r="N129" s="116"/>
    </row>
    <row r="130" spans="1:14">
      <c r="B130" s="24" t="s">
        <v>152</v>
      </c>
      <c r="D130" s="113">
        <v>10</v>
      </c>
      <c r="E130" s="112">
        <f t="shared" si="19"/>
        <v>2</v>
      </c>
      <c r="F130" s="114">
        <f t="shared" si="20"/>
        <v>20</v>
      </c>
      <c r="G130" s="113">
        <f t="shared" si="21"/>
        <v>30</v>
      </c>
      <c r="H130" s="114">
        <f t="shared" si="14"/>
        <v>40</v>
      </c>
      <c r="I130" s="113">
        <f t="shared" si="16"/>
        <v>50</v>
      </c>
      <c r="J130" s="114">
        <f t="shared" si="17"/>
        <v>60</v>
      </c>
      <c r="K130" s="113"/>
      <c r="L130" s="114">
        <f t="shared" si="22"/>
        <v>200</v>
      </c>
      <c r="M130" s="115">
        <f t="shared" si="18"/>
        <v>64599.794707932408</v>
      </c>
      <c r="N130" s="116"/>
    </row>
    <row r="131" spans="1:14">
      <c r="B131" s="24" t="s">
        <v>153</v>
      </c>
      <c r="D131" s="113">
        <v>10</v>
      </c>
      <c r="E131" s="112">
        <f t="shared" si="19"/>
        <v>2</v>
      </c>
      <c r="F131" s="114">
        <f t="shared" si="20"/>
        <v>20</v>
      </c>
      <c r="G131" s="113">
        <f t="shared" si="21"/>
        <v>30</v>
      </c>
      <c r="H131" s="114">
        <f t="shared" ref="H131:H194" si="23">E131*$H$1</f>
        <v>40</v>
      </c>
      <c r="I131" s="113">
        <f t="shared" si="16"/>
        <v>50</v>
      </c>
      <c r="J131" s="114">
        <f t="shared" si="17"/>
        <v>60</v>
      </c>
      <c r="K131" s="113"/>
      <c r="L131" s="114">
        <f t="shared" si="22"/>
        <v>200</v>
      </c>
      <c r="M131" s="115">
        <f t="shared" si="18"/>
        <v>64799.794707932408</v>
      </c>
      <c r="N131" s="116"/>
    </row>
    <row r="132" spans="1:14">
      <c r="A132" s="26"/>
      <c r="B132" s="27" t="s">
        <v>154</v>
      </c>
      <c r="C132" s="26"/>
      <c r="D132" s="113">
        <v>10</v>
      </c>
      <c r="E132" s="112">
        <f t="shared" si="19"/>
        <v>2</v>
      </c>
      <c r="F132" s="112">
        <f t="shared" si="20"/>
        <v>20</v>
      </c>
      <c r="G132" s="112">
        <f t="shared" si="21"/>
        <v>30</v>
      </c>
      <c r="H132" s="112">
        <f t="shared" si="23"/>
        <v>40</v>
      </c>
      <c r="I132" s="112">
        <f t="shared" ref="I132:I195" si="24">E132*$I$1</f>
        <v>50</v>
      </c>
      <c r="J132" s="112">
        <f t="shared" ref="J132:J195" si="25">E132*$J$1</f>
        <v>60</v>
      </c>
      <c r="K132" s="112"/>
      <c r="L132" s="112">
        <f t="shared" si="22"/>
        <v>200</v>
      </c>
      <c r="M132" s="117">
        <f t="shared" ref="M132:M195" si="26">SUM(F132:K132)+M131</f>
        <v>64999.794707932408</v>
      </c>
      <c r="N132" s="117">
        <f>M132-M127</f>
        <v>1000</v>
      </c>
    </row>
    <row r="133" spans="1:14">
      <c r="A133" s="23">
        <v>27</v>
      </c>
      <c r="B133" s="24" t="s">
        <v>150</v>
      </c>
      <c r="D133" s="113">
        <v>10</v>
      </c>
      <c r="E133" s="112">
        <f t="shared" si="19"/>
        <v>2</v>
      </c>
      <c r="F133" s="114">
        <f t="shared" si="20"/>
        <v>20</v>
      </c>
      <c r="G133" s="113">
        <f t="shared" si="21"/>
        <v>30</v>
      </c>
      <c r="H133" s="114">
        <f t="shared" si="23"/>
        <v>40</v>
      </c>
      <c r="I133" s="113">
        <f t="shared" si="24"/>
        <v>50</v>
      </c>
      <c r="J133" s="114">
        <f t="shared" si="25"/>
        <v>60</v>
      </c>
      <c r="K133" s="113"/>
      <c r="L133" s="114">
        <f t="shared" si="22"/>
        <v>200</v>
      </c>
      <c r="M133" s="115">
        <f t="shared" si="26"/>
        <v>65199.794707932408</v>
      </c>
      <c r="N133" s="116"/>
    </row>
    <row r="134" spans="1:14">
      <c r="B134" s="24" t="s">
        <v>151</v>
      </c>
      <c r="D134" s="113">
        <v>10</v>
      </c>
      <c r="E134" s="112">
        <f t="shared" si="19"/>
        <v>2</v>
      </c>
      <c r="F134" s="114">
        <f t="shared" si="20"/>
        <v>20</v>
      </c>
      <c r="G134" s="113">
        <f t="shared" si="21"/>
        <v>30</v>
      </c>
      <c r="H134" s="114">
        <f t="shared" si="23"/>
        <v>40</v>
      </c>
      <c r="I134" s="113">
        <f t="shared" si="24"/>
        <v>50</v>
      </c>
      <c r="J134" s="114">
        <f t="shared" si="25"/>
        <v>60</v>
      </c>
      <c r="K134" s="113"/>
      <c r="L134" s="114">
        <f t="shared" si="22"/>
        <v>200</v>
      </c>
      <c r="M134" s="115">
        <f t="shared" si="26"/>
        <v>65399.794707932408</v>
      </c>
      <c r="N134" s="116"/>
    </row>
    <row r="135" spans="1:14">
      <c r="B135" s="24" t="s">
        <v>152</v>
      </c>
      <c r="D135" s="113">
        <v>10</v>
      </c>
      <c r="E135" s="112">
        <f t="shared" si="19"/>
        <v>2</v>
      </c>
      <c r="F135" s="114">
        <f t="shared" si="20"/>
        <v>20</v>
      </c>
      <c r="G135" s="113">
        <f t="shared" si="21"/>
        <v>30</v>
      </c>
      <c r="H135" s="114">
        <f t="shared" si="23"/>
        <v>40</v>
      </c>
      <c r="I135" s="113">
        <f t="shared" si="24"/>
        <v>50</v>
      </c>
      <c r="J135" s="114">
        <f t="shared" si="25"/>
        <v>60</v>
      </c>
      <c r="K135" s="113"/>
      <c r="L135" s="114">
        <f t="shared" si="22"/>
        <v>200</v>
      </c>
      <c r="M135" s="115">
        <f t="shared" si="26"/>
        <v>65599.794707932408</v>
      </c>
      <c r="N135" s="116"/>
    </row>
    <row r="136" spans="1:14">
      <c r="B136" s="24" t="s">
        <v>153</v>
      </c>
      <c r="D136" s="113">
        <v>10</v>
      </c>
      <c r="E136" s="112">
        <f t="shared" si="19"/>
        <v>2</v>
      </c>
      <c r="F136" s="114">
        <f t="shared" si="20"/>
        <v>20</v>
      </c>
      <c r="G136" s="113">
        <f t="shared" si="21"/>
        <v>30</v>
      </c>
      <c r="H136" s="114">
        <f t="shared" si="23"/>
        <v>40</v>
      </c>
      <c r="I136" s="113">
        <f t="shared" si="24"/>
        <v>50</v>
      </c>
      <c r="J136" s="114">
        <f t="shared" si="25"/>
        <v>60</v>
      </c>
      <c r="K136" s="113"/>
      <c r="L136" s="114">
        <f t="shared" si="22"/>
        <v>200</v>
      </c>
      <c r="M136" s="115">
        <f t="shared" si="26"/>
        <v>65799.794707932408</v>
      </c>
      <c r="N136" s="116"/>
    </row>
    <row r="137" spans="1:14">
      <c r="A137" s="26"/>
      <c r="B137" s="27" t="s">
        <v>154</v>
      </c>
      <c r="C137" s="26"/>
      <c r="D137" s="113">
        <v>10</v>
      </c>
      <c r="E137" s="112">
        <f t="shared" si="19"/>
        <v>2</v>
      </c>
      <c r="F137" s="112">
        <f t="shared" si="20"/>
        <v>20</v>
      </c>
      <c r="G137" s="112">
        <f t="shared" si="21"/>
        <v>30</v>
      </c>
      <c r="H137" s="112">
        <f t="shared" si="23"/>
        <v>40</v>
      </c>
      <c r="I137" s="112">
        <f t="shared" si="24"/>
        <v>50</v>
      </c>
      <c r="J137" s="112">
        <f t="shared" si="25"/>
        <v>60</v>
      </c>
      <c r="K137" s="112"/>
      <c r="L137" s="112">
        <f t="shared" si="22"/>
        <v>200</v>
      </c>
      <c r="M137" s="117">
        <f t="shared" si="26"/>
        <v>65999.794707932408</v>
      </c>
      <c r="N137" s="117">
        <f>M137-M132</f>
        <v>1000</v>
      </c>
    </row>
    <row r="138" spans="1:14">
      <c r="A138" s="23">
        <v>28</v>
      </c>
      <c r="B138" s="24" t="s">
        <v>150</v>
      </c>
      <c r="D138" s="113">
        <v>10</v>
      </c>
      <c r="E138" s="112">
        <f t="shared" si="19"/>
        <v>2</v>
      </c>
      <c r="F138" s="114">
        <f t="shared" si="20"/>
        <v>20</v>
      </c>
      <c r="G138" s="113">
        <f t="shared" si="21"/>
        <v>30</v>
      </c>
      <c r="H138" s="114">
        <f t="shared" si="23"/>
        <v>40</v>
      </c>
      <c r="I138" s="113">
        <f t="shared" si="24"/>
        <v>50</v>
      </c>
      <c r="J138" s="114">
        <f t="shared" si="25"/>
        <v>60</v>
      </c>
      <c r="K138" s="113"/>
      <c r="L138" s="114">
        <f t="shared" si="22"/>
        <v>200</v>
      </c>
      <c r="M138" s="115">
        <f t="shared" si="26"/>
        <v>66199.794707932408</v>
      </c>
      <c r="N138" s="116"/>
    </row>
    <row r="139" spans="1:14">
      <c r="B139" s="24" t="s">
        <v>151</v>
      </c>
      <c r="D139" s="113">
        <v>10</v>
      </c>
      <c r="E139" s="112">
        <f t="shared" si="19"/>
        <v>2</v>
      </c>
      <c r="F139" s="114">
        <f t="shared" si="20"/>
        <v>20</v>
      </c>
      <c r="G139" s="113">
        <f t="shared" si="21"/>
        <v>30</v>
      </c>
      <c r="H139" s="114">
        <f t="shared" si="23"/>
        <v>40</v>
      </c>
      <c r="I139" s="113">
        <f t="shared" si="24"/>
        <v>50</v>
      </c>
      <c r="J139" s="114">
        <f t="shared" si="25"/>
        <v>60</v>
      </c>
      <c r="K139" s="113"/>
      <c r="L139" s="114">
        <f t="shared" si="22"/>
        <v>200</v>
      </c>
      <c r="M139" s="115">
        <f t="shared" si="26"/>
        <v>66399.794707932408</v>
      </c>
      <c r="N139" s="116"/>
    </row>
    <row r="140" spans="1:14">
      <c r="B140" s="24" t="s">
        <v>152</v>
      </c>
      <c r="D140" s="113">
        <v>10</v>
      </c>
      <c r="E140" s="112">
        <f t="shared" si="19"/>
        <v>2</v>
      </c>
      <c r="F140" s="114">
        <f t="shared" si="20"/>
        <v>20</v>
      </c>
      <c r="G140" s="113">
        <f t="shared" si="21"/>
        <v>30</v>
      </c>
      <c r="H140" s="114">
        <f t="shared" si="23"/>
        <v>40</v>
      </c>
      <c r="I140" s="113">
        <f t="shared" si="24"/>
        <v>50</v>
      </c>
      <c r="J140" s="114">
        <f t="shared" si="25"/>
        <v>60</v>
      </c>
      <c r="K140" s="113"/>
      <c r="L140" s="114">
        <f t="shared" si="22"/>
        <v>200</v>
      </c>
      <c r="M140" s="115">
        <f t="shared" si="26"/>
        <v>66599.794707932408</v>
      </c>
      <c r="N140" s="116"/>
    </row>
    <row r="141" spans="1:14">
      <c r="B141" s="24" t="s">
        <v>153</v>
      </c>
      <c r="D141" s="113">
        <v>10</v>
      </c>
      <c r="E141" s="112">
        <f t="shared" si="19"/>
        <v>2</v>
      </c>
      <c r="F141" s="114">
        <f t="shared" si="20"/>
        <v>20</v>
      </c>
      <c r="G141" s="113">
        <f t="shared" si="21"/>
        <v>30</v>
      </c>
      <c r="H141" s="114">
        <f t="shared" si="23"/>
        <v>40</v>
      </c>
      <c r="I141" s="113">
        <f t="shared" si="24"/>
        <v>50</v>
      </c>
      <c r="J141" s="114">
        <f t="shared" si="25"/>
        <v>60</v>
      </c>
      <c r="K141" s="113"/>
      <c r="L141" s="114">
        <f t="shared" si="22"/>
        <v>200</v>
      </c>
      <c r="M141" s="115">
        <f t="shared" si="26"/>
        <v>66799.794707932408</v>
      </c>
      <c r="N141" s="116"/>
    </row>
    <row r="142" spans="1:14">
      <c r="A142" s="26"/>
      <c r="B142" s="27" t="s">
        <v>154</v>
      </c>
      <c r="C142" s="26"/>
      <c r="D142" s="113">
        <v>10</v>
      </c>
      <c r="E142" s="112">
        <f t="shared" si="19"/>
        <v>2</v>
      </c>
      <c r="F142" s="112">
        <f t="shared" si="20"/>
        <v>20</v>
      </c>
      <c r="G142" s="112">
        <f t="shared" si="21"/>
        <v>30</v>
      </c>
      <c r="H142" s="112">
        <f t="shared" si="23"/>
        <v>40</v>
      </c>
      <c r="I142" s="112">
        <f t="shared" si="24"/>
        <v>50</v>
      </c>
      <c r="J142" s="112">
        <f t="shared" si="25"/>
        <v>60</v>
      </c>
      <c r="K142" s="112"/>
      <c r="L142" s="112">
        <f t="shared" si="22"/>
        <v>200</v>
      </c>
      <c r="M142" s="117">
        <f t="shared" si="26"/>
        <v>66999.794707932408</v>
      </c>
      <c r="N142" s="117">
        <f>M142-M137</f>
        <v>1000</v>
      </c>
    </row>
    <row r="143" spans="1:14">
      <c r="A143" s="23">
        <v>29</v>
      </c>
      <c r="B143" s="24" t="s">
        <v>150</v>
      </c>
      <c r="D143" s="113">
        <v>10</v>
      </c>
      <c r="E143" s="112">
        <f t="shared" si="19"/>
        <v>2</v>
      </c>
      <c r="F143" s="114">
        <f t="shared" si="20"/>
        <v>20</v>
      </c>
      <c r="G143" s="113">
        <f t="shared" si="21"/>
        <v>30</v>
      </c>
      <c r="H143" s="114">
        <f t="shared" si="23"/>
        <v>40</v>
      </c>
      <c r="I143" s="113">
        <f t="shared" si="24"/>
        <v>50</v>
      </c>
      <c r="J143" s="114">
        <f t="shared" si="25"/>
        <v>60</v>
      </c>
      <c r="K143" s="113"/>
      <c r="L143" s="114">
        <f t="shared" si="22"/>
        <v>200</v>
      </c>
      <c r="M143" s="115">
        <f t="shared" si="26"/>
        <v>67199.794707932408</v>
      </c>
      <c r="N143" s="116"/>
    </row>
    <row r="144" spans="1:14">
      <c r="B144" s="24" t="s">
        <v>151</v>
      </c>
      <c r="D144" s="113">
        <v>10</v>
      </c>
      <c r="E144" s="112">
        <f t="shared" si="19"/>
        <v>2</v>
      </c>
      <c r="F144" s="114">
        <f t="shared" si="20"/>
        <v>20</v>
      </c>
      <c r="G144" s="113">
        <f t="shared" si="21"/>
        <v>30</v>
      </c>
      <c r="H144" s="114">
        <f t="shared" si="23"/>
        <v>40</v>
      </c>
      <c r="I144" s="113">
        <f t="shared" si="24"/>
        <v>50</v>
      </c>
      <c r="J144" s="114">
        <f t="shared" si="25"/>
        <v>60</v>
      </c>
      <c r="K144" s="113"/>
      <c r="L144" s="114">
        <f t="shared" si="22"/>
        <v>200</v>
      </c>
      <c r="M144" s="115">
        <f t="shared" si="26"/>
        <v>67399.794707932408</v>
      </c>
      <c r="N144" s="116"/>
    </row>
    <row r="145" spans="1:14">
      <c r="B145" s="24" t="s">
        <v>152</v>
      </c>
      <c r="D145" s="113">
        <v>10</v>
      </c>
      <c r="E145" s="112">
        <f t="shared" si="19"/>
        <v>2</v>
      </c>
      <c r="F145" s="114">
        <f t="shared" si="20"/>
        <v>20</v>
      </c>
      <c r="G145" s="113">
        <f t="shared" si="21"/>
        <v>30</v>
      </c>
      <c r="H145" s="114">
        <f t="shared" si="23"/>
        <v>40</v>
      </c>
      <c r="I145" s="113">
        <f t="shared" si="24"/>
        <v>50</v>
      </c>
      <c r="J145" s="114">
        <f t="shared" si="25"/>
        <v>60</v>
      </c>
      <c r="K145" s="113"/>
      <c r="L145" s="114">
        <f t="shared" si="22"/>
        <v>200</v>
      </c>
      <c r="M145" s="115">
        <f t="shared" si="26"/>
        <v>67599.794707932408</v>
      </c>
      <c r="N145" s="116"/>
    </row>
    <row r="146" spans="1:14">
      <c r="B146" s="24" t="s">
        <v>153</v>
      </c>
      <c r="D146" s="113">
        <v>10</v>
      </c>
      <c r="E146" s="112">
        <f t="shared" si="19"/>
        <v>2</v>
      </c>
      <c r="F146" s="114">
        <f t="shared" si="20"/>
        <v>20</v>
      </c>
      <c r="G146" s="113">
        <f t="shared" si="21"/>
        <v>30</v>
      </c>
      <c r="H146" s="114">
        <f t="shared" si="23"/>
        <v>40</v>
      </c>
      <c r="I146" s="113">
        <f t="shared" si="24"/>
        <v>50</v>
      </c>
      <c r="J146" s="114">
        <f t="shared" si="25"/>
        <v>60</v>
      </c>
      <c r="K146" s="113"/>
      <c r="L146" s="114">
        <f t="shared" si="22"/>
        <v>200</v>
      </c>
      <c r="M146" s="115">
        <f t="shared" si="26"/>
        <v>67799.794707932408</v>
      </c>
      <c r="N146" s="116"/>
    </row>
    <row r="147" spans="1:14">
      <c r="A147" s="26"/>
      <c r="B147" s="27" t="s">
        <v>154</v>
      </c>
      <c r="C147" s="26"/>
      <c r="D147" s="113">
        <v>10</v>
      </c>
      <c r="E147" s="112">
        <f t="shared" ref="E147:E210" si="27">D147/$B$2</f>
        <v>2</v>
      </c>
      <c r="F147" s="112">
        <f t="shared" ref="F147:F210" si="28">E147*$F$1</f>
        <v>20</v>
      </c>
      <c r="G147" s="112">
        <f t="shared" si="21"/>
        <v>30</v>
      </c>
      <c r="H147" s="112">
        <f t="shared" si="23"/>
        <v>40</v>
      </c>
      <c r="I147" s="112">
        <f t="shared" si="24"/>
        <v>50</v>
      </c>
      <c r="J147" s="112">
        <f t="shared" si="25"/>
        <v>60</v>
      </c>
      <c r="K147" s="112"/>
      <c r="L147" s="112">
        <f t="shared" si="22"/>
        <v>200</v>
      </c>
      <c r="M147" s="117">
        <f t="shared" si="26"/>
        <v>67999.794707932408</v>
      </c>
      <c r="N147" s="117">
        <f>M147-M142</f>
        <v>1000</v>
      </c>
    </row>
    <row r="148" spans="1:14">
      <c r="A148" s="23">
        <v>30</v>
      </c>
      <c r="B148" s="24" t="s">
        <v>150</v>
      </c>
      <c r="D148" s="113">
        <v>10</v>
      </c>
      <c r="E148" s="112">
        <f t="shared" si="27"/>
        <v>2</v>
      </c>
      <c r="F148" s="114">
        <f t="shared" si="28"/>
        <v>20</v>
      </c>
      <c r="G148" s="113">
        <f t="shared" si="21"/>
        <v>30</v>
      </c>
      <c r="H148" s="114">
        <f t="shared" si="23"/>
        <v>40</v>
      </c>
      <c r="I148" s="113">
        <f t="shared" si="24"/>
        <v>50</v>
      </c>
      <c r="J148" s="114">
        <f t="shared" si="25"/>
        <v>60</v>
      </c>
      <c r="K148" s="113"/>
      <c r="L148" s="114">
        <f t="shared" si="22"/>
        <v>200</v>
      </c>
      <c r="M148" s="115">
        <f t="shared" si="26"/>
        <v>68199.794707932408</v>
      </c>
      <c r="N148" s="116"/>
    </row>
    <row r="149" spans="1:14">
      <c r="B149" s="24" t="s">
        <v>151</v>
      </c>
      <c r="D149" s="113">
        <v>10</v>
      </c>
      <c r="E149" s="112">
        <f t="shared" si="27"/>
        <v>2</v>
      </c>
      <c r="F149" s="114">
        <f t="shared" si="28"/>
        <v>20</v>
      </c>
      <c r="G149" s="113">
        <f t="shared" si="21"/>
        <v>30</v>
      </c>
      <c r="H149" s="114">
        <f t="shared" si="23"/>
        <v>40</v>
      </c>
      <c r="I149" s="113">
        <f t="shared" si="24"/>
        <v>50</v>
      </c>
      <c r="J149" s="114">
        <f t="shared" si="25"/>
        <v>60</v>
      </c>
      <c r="K149" s="113"/>
      <c r="L149" s="114">
        <f t="shared" si="22"/>
        <v>200</v>
      </c>
      <c r="M149" s="115">
        <f t="shared" si="26"/>
        <v>68399.794707932408</v>
      </c>
      <c r="N149" s="116"/>
    </row>
    <row r="150" spans="1:14">
      <c r="B150" s="24" t="s">
        <v>152</v>
      </c>
      <c r="D150" s="113">
        <v>10</v>
      </c>
      <c r="E150" s="112">
        <f t="shared" si="27"/>
        <v>2</v>
      </c>
      <c r="F150" s="114">
        <f t="shared" si="28"/>
        <v>20</v>
      </c>
      <c r="G150" s="113">
        <f t="shared" si="21"/>
        <v>30</v>
      </c>
      <c r="H150" s="114">
        <f t="shared" si="23"/>
        <v>40</v>
      </c>
      <c r="I150" s="113">
        <f t="shared" si="24"/>
        <v>50</v>
      </c>
      <c r="J150" s="114">
        <f t="shared" si="25"/>
        <v>60</v>
      </c>
      <c r="K150" s="113"/>
      <c r="L150" s="114">
        <f t="shared" si="22"/>
        <v>200</v>
      </c>
      <c r="M150" s="115">
        <f t="shared" si="26"/>
        <v>68599.794707932408</v>
      </c>
      <c r="N150" s="116"/>
    </row>
    <row r="151" spans="1:14">
      <c r="B151" s="24" t="s">
        <v>153</v>
      </c>
      <c r="D151" s="113">
        <v>10</v>
      </c>
      <c r="E151" s="112">
        <f t="shared" si="27"/>
        <v>2</v>
      </c>
      <c r="F151" s="114">
        <f t="shared" si="28"/>
        <v>20</v>
      </c>
      <c r="G151" s="113">
        <f t="shared" si="21"/>
        <v>30</v>
      </c>
      <c r="H151" s="114">
        <f t="shared" si="23"/>
        <v>40</v>
      </c>
      <c r="I151" s="113">
        <f t="shared" si="24"/>
        <v>50</v>
      </c>
      <c r="J151" s="114">
        <f t="shared" si="25"/>
        <v>60</v>
      </c>
      <c r="K151" s="113"/>
      <c r="L151" s="114">
        <f t="shared" si="22"/>
        <v>200</v>
      </c>
      <c r="M151" s="115">
        <f t="shared" si="26"/>
        <v>68799.794707932408</v>
      </c>
      <c r="N151" s="116"/>
    </row>
    <row r="152" spans="1:14">
      <c r="A152" s="26"/>
      <c r="B152" s="27" t="s">
        <v>154</v>
      </c>
      <c r="C152" s="26"/>
      <c r="D152" s="113">
        <v>10</v>
      </c>
      <c r="E152" s="112">
        <f t="shared" si="27"/>
        <v>2</v>
      </c>
      <c r="F152" s="112">
        <f t="shared" si="28"/>
        <v>20</v>
      </c>
      <c r="G152" s="112">
        <f t="shared" si="21"/>
        <v>30</v>
      </c>
      <c r="H152" s="112">
        <f t="shared" si="23"/>
        <v>40</v>
      </c>
      <c r="I152" s="112">
        <f t="shared" si="24"/>
        <v>50</v>
      </c>
      <c r="J152" s="112">
        <f t="shared" si="25"/>
        <v>60</v>
      </c>
      <c r="K152" s="112"/>
      <c r="L152" s="112">
        <f t="shared" si="22"/>
        <v>200</v>
      </c>
      <c r="M152" s="117">
        <f t="shared" si="26"/>
        <v>68999.794707932408</v>
      </c>
      <c r="N152" s="117">
        <f>M152-M147</f>
        <v>1000</v>
      </c>
    </row>
    <row r="153" spans="1:14">
      <c r="A153" s="23">
        <v>31</v>
      </c>
      <c r="B153" s="24" t="s">
        <v>150</v>
      </c>
      <c r="D153" s="113">
        <v>10</v>
      </c>
      <c r="E153" s="112">
        <f t="shared" si="27"/>
        <v>2</v>
      </c>
      <c r="F153" s="114">
        <f t="shared" si="28"/>
        <v>20</v>
      </c>
      <c r="G153" s="113">
        <f t="shared" si="21"/>
        <v>30</v>
      </c>
      <c r="H153" s="114">
        <f t="shared" si="23"/>
        <v>40</v>
      </c>
      <c r="I153" s="113">
        <f t="shared" si="24"/>
        <v>50</v>
      </c>
      <c r="J153" s="114">
        <f t="shared" si="25"/>
        <v>60</v>
      </c>
      <c r="K153" s="113"/>
      <c r="L153" s="114">
        <f t="shared" si="22"/>
        <v>200</v>
      </c>
      <c r="M153" s="115">
        <f t="shared" si="26"/>
        <v>69199.794707932408</v>
      </c>
      <c r="N153" s="116"/>
    </row>
    <row r="154" spans="1:14">
      <c r="B154" s="24" t="s">
        <v>151</v>
      </c>
      <c r="D154" s="113">
        <v>10</v>
      </c>
      <c r="E154" s="112">
        <f t="shared" si="27"/>
        <v>2</v>
      </c>
      <c r="F154" s="114">
        <f t="shared" si="28"/>
        <v>20</v>
      </c>
      <c r="G154" s="113">
        <f t="shared" si="21"/>
        <v>30</v>
      </c>
      <c r="H154" s="114">
        <f t="shared" si="23"/>
        <v>40</v>
      </c>
      <c r="I154" s="113">
        <f t="shared" si="24"/>
        <v>50</v>
      </c>
      <c r="J154" s="114">
        <f t="shared" si="25"/>
        <v>60</v>
      </c>
      <c r="K154" s="113"/>
      <c r="L154" s="114">
        <f t="shared" si="22"/>
        <v>200</v>
      </c>
      <c r="M154" s="115">
        <f t="shared" si="26"/>
        <v>69399.794707932408</v>
      </c>
      <c r="N154" s="116"/>
    </row>
    <row r="155" spans="1:14">
      <c r="B155" s="24" t="s">
        <v>152</v>
      </c>
      <c r="D155" s="113">
        <v>10</v>
      </c>
      <c r="E155" s="112">
        <f t="shared" si="27"/>
        <v>2</v>
      </c>
      <c r="F155" s="114">
        <f t="shared" si="28"/>
        <v>20</v>
      </c>
      <c r="G155" s="113">
        <f t="shared" si="21"/>
        <v>30</v>
      </c>
      <c r="H155" s="114">
        <f t="shared" si="23"/>
        <v>40</v>
      </c>
      <c r="I155" s="113">
        <f t="shared" si="24"/>
        <v>50</v>
      </c>
      <c r="J155" s="114">
        <f t="shared" si="25"/>
        <v>60</v>
      </c>
      <c r="K155" s="113"/>
      <c r="L155" s="114">
        <f t="shared" si="22"/>
        <v>200</v>
      </c>
      <c r="M155" s="115">
        <f t="shared" si="26"/>
        <v>69599.794707932408</v>
      </c>
      <c r="N155" s="116"/>
    </row>
    <row r="156" spans="1:14">
      <c r="B156" s="24" t="s">
        <v>153</v>
      </c>
      <c r="D156" s="113">
        <v>10</v>
      </c>
      <c r="E156" s="112">
        <f t="shared" si="27"/>
        <v>2</v>
      </c>
      <c r="F156" s="114">
        <f t="shared" si="28"/>
        <v>20</v>
      </c>
      <c r="G156" s="113">
        <f t="shared" si="21"/>
        <v>30</v>
      </c>
      <c r="H156" s="114">
        <f t="shared" si="23"/>
        <v>40</v>
      </c>
      <c r="I156" s="113">
        <f t="shared" si="24"/>
        <v>50</v>
      </c>
      <c r="J156" s="114">
        <f t="shared" si="25"/>
        <v>60</v>
      </c>
      <c r="K156" s="113"/>
      <c r="L156" s="114">
        <f t="shared" si="22"/>
        <v>200</v>
      </c>
      <c r="M156" s="115">
        <f t="shared" si="26"/>
        <v>69799.794707932408</v>
      </c>
      <c r="N156" s="116"/>
    </row>
    <row r="157" spans="1:14">
      <c r="A157" s="26"/>
      <c r="B157" s="27" t="s">
        <v>154</v>
      </c>
      <c r="C157" s="26"/>
      <c r="D157" s="113">
        <v>10</v>
      </c>
      <c r="E157" s="112">
        <f t="shared" si="27"/>
        <v>2</v>
      </c>
      <c r="F157" s="112">
        <f t="shared" si="28"/>
        <v>20</v>
      </c>
      <c r="G157" s="112">
        <f t="shared" ref="G157:G220" si="29">E157*$G$1</f>
        <v>30</v>
      </c>
      <c r="H157" s="112">
        <f t="shared" si="23"/>
        <v>40</v>
      </c>
      <c r="I157" s="112">
        <f t="shared" si="24"/>
        <v>50</v>
      </c>
      <c r="J157" s="112">
        <f t="shared" si="25"/>
        <v>60</v>
      </c>
      <c r="K157" s="112"/>
      <c r="L157" s="112">
        <f t="shared" si="22"/>
        <v>200</v>
      </c>
      <c r="M157" s="117">
        <f t="shared" si="26"/>
        <v>69999.794707932408</v>
      </c>
      <c r="N157" s="117">
        <f>M157-M152</f>
        <v>1000</v>
      </c>
    </row>
    <row r="158" spans="1:14">
      <c r="A158" s="23">
        <v>32</v>
      </c>
      <c r="B158" s="24" t="s">
        <v>150</v>
      </c>
      <c r="D158" s="113">
        <v>10</v>
      </c>
      <c r="E158" s="112">
        <f t="shared" si="27"/>
        <v>2</v>
      </c>
      <c r="F158" s="114">
        <f t="shared" si="28"/>
        <v>20</v>
      </c>
      <c r="G158" s="113">
        <f t="shared" si="29"/>
        <v>30</v>
      </c>
      <c r="H158" s="114">
        <f t="shared" si="23"/>
        <v>40</v>
      </c>
      <c r="I158" s="113">
        <f t="shared" si="24"/>
        <v>50</v>
      </c>
      <c r="J158" s="114">
        <f t="shared" si="25"/>
        <v>60</v>
      </c>
      <c r="K158" s="113"/>
      <c r="L158" s="114">
        <f t="shared" si="22"/>
        <v>200</v>
      </c>
      <c r="M158" s="115">
        <f t="shared" si="26"/>
        <v>70199.794707932408</v>
      </c>
      <c r="N158" s="116"/>
    </row>
    <row r="159" spans="1:14">
      <c r="B159" s="24" t="s">
        <v>151</v>
      </c>
      <c r="D159" s="113">
        <v>10</v>
      </c>
      <c r="E159" s="112">
        <f t="shared" si="27"/>
        <v>2</v>
      </c>
      <c r="F159" s="114">
        <f t="shared" si="28"/>
        <v>20</v>
      </c>
      <c r="G159" s="113">
        <f t="shared" si="29"/>
        <v>30</v>
      </c>
      <c r="H159" s="114">
        <f t="shared" si="23"/>
        <v>40</v>
      </c>
      <c r="I159" s="113">
        <f t="shared" si="24"/>
        <v>50</v>
      </c>
      <c r="J159" s="114">
        <f t="shared" si="25"/>
        <v>60</v>
      </c>
      <c r="K159" s="113"/>
      <c r="L159" s="114">
        <f t="shared" si="22"/>
        <v>200</v>
      </c>
      <c r="M159" s="115">
        <f t="shared" si="26"/>
        <v>70399.794707932408</v>
      </c>
      <c r="N159" s="116"/>
    </row>
    <row r="160" spans="1:14">
      <c r="B160" s="24" t="s">
        <v>152</v>
      </c>
      <c r="D160" s="113">
        <v>10</v>
      </c>
      <c r="E160" s="112">
        <f t="shared" si="27"/>
        <v>2</v>
      </c>
      <c r="F160" s="114">
        <f t="shared" si="28"/>
        <v>20</v>
      </c>
      <c r="G160" s="113">
        <f t="shared" si="29"/>
        <v>30</v>
      </c>
      <c r="H160" s="114">
        <f t="shared" si="23"/>
        <v>40</v>
      </c>
      <c r="I160" s="113">
        <f t="shared" si="24"/>
        <v>50</v>
      </c>
      <c r="J160" s="114">
        <f t="shared" si="25"/>
        <v>60</v>
      </c>
      <c r="K160" s="113"/>
      <c r="L160" s="114">
        <f t="shared" si="22"/>
        <v>200</v>
      </c>
      <c r="M160" s="115">
        <f t="shared" si="26"/>
        <v>70599.794707932408</v>
      </c>
      <c r="N160" s="116"/>
    </row>
    <row r="161" spans="1:14">
      <c r="B161" s="24" t="s">
        <v>153</v>
      </c>
      <c r="D161" s="113">
        <v>10</v>
      </c>
      <c r="E161" s="112">
        <f t="shared" si="27"/>
        <v>2</v>
      </c>
      <c r="F161" s="114">
        <f t="shared" si="28"/>
        <v>20</v>
      </c>
      <c r="G161" s="113">
        <f t="shared" si="29"/>
        <v>30</v>
      </c>
      <c r="H161" s="114">
        <f t="shared" si="23"/>
        <v>40</v>
      </c>
      <c r="I161" s="113">
        <f t="shared" si="24"/>
        <v>50</v>
      </c>
      <c r="J161" s="114">
        <f t="shared" si="25"/>
        <v>60</v>
      </c>
      <c r="K161" s="113"/>
      <c r="L161" s="114">
        <f t="shared" si="22"/>
        <v>200</v>
      </c>
      <c r="M161" s="115">
        <f t="shared" si="26"/>
        <v>70799.794707932408</v>
      </c>
      <c r="N161" s="116"/>
    </row>
    <row r="162" spans="1:14">
      <c r="A162" s="26"/>
      <c r="B162" s="27" t="s">
        <v>154</v>
      </c>
      <c r="C162" s="26"/>
      <c r="D162" s="113">
        <v>10</v>
      </c>
      <c r="E162" s="112">
        <f t="shared" si="27"/>
        <v>2</v>
      </c>
      <c r="F162" s="112">
        <f t="shared" si="28"/>
        <v>20</v>
      </c>
      <c r="G162" s="112">
        <f t="shared" si="29"/>
        <v>30</v>
      </c>
      <c r="H162" s="112">
        <f t="shared" si="23"/>
        <v>40</v>
      </c>
      <c r="I162" s="112">
        <f t="shared" si="24"/>
        <v>50</v>
      </c>
      <c r="J162" s="112">
        <f t="shared" si="25"/>
        <v>60</v>
      </c>
      <c r="K162" s="112"/>
      <c r="L162" s="112">
        <f t="shared" si="22"/>
        <v>200</v>
      </c>
      <c r="M162" s="117">
        <f t="shared" si="26"/>
        <v>70999.794707932408</v>
      </c>
      <c r="N162" s="117">
        <f>M162-M157</f>
        <v>1000</v>
      </c>
    </row>
    <row r="163" spans="1:14">
      <c r="A163" s="23">
        <v>33</v>
      </c>
      <c r="B163" s="24" t="s">
        <v>150</v>
      </c>
      <c r="D163" s="113">
        <v>10</v>
      </c>
      <c r="E163" s="112">
        <f t="shared" si="27"/>
        <v>2</v>
      </c>
      <c r="F163" s="114">
        <f t="shared" si="28"/>
        <v>20</v>
      </c>
      <c r="G163" s="113">
        <f t="shared" si="29"/>
        <v>30</v>
      </c>
      <c r="H163" s="114">
        <f t="shared" si="23"/>
        <v>40</v>
      </c>
      <c r="I163" s="113">
        <f t="shared" si="24"/>
        <v>50</v>
      </c>
      <c r="J163" s="114">
        <f t="shared" si="25"/>
        <v>60</v>
      </c>
      <c r="K163" s="113"/>
      <c r="L163" s="114">
        <f t="shared" ref="L163:L194" si="30">SUM(F163:K163)</f>
        <v>200</v>
      </c>
      <c r="M163" s="115">
        <f t="shared" si="26"/>
        <v>71199.794707932408</v>
      </c>
      <c r="N163" s="116"/>
    </row>
    <row r="164" spans="1:14">
      <c r="B164" s="24" t="s">
        <v>151</v>
      </c>
      <c r="D164" s="113">
        <v>10</v>
      </c>
      <c r="E164" s="112">
        <f t="shared" si="27"/>
        <v>2</v>
      </c>
      <c r="F164" s="114">
        <f t="shared" si="28"/>
        <v>20</v>
      </c>
      <c r="G164" s="113">
        <f t="shared" si="29"/>
        <v>30</v>
      </c>
      <c r="H164" s="114">
        <f t="shared" si="23"/>
        <v>40</v>
      </c>
      <c r="I164" s="113">
        <f t="shared" si="24"/>
        <v>50</v>
      </c>
      <c r="J164" s="114">
        <f t="shared" si="25"/>
        <v>60</v>
      </c>
      <c r="K164" s="113"/>
      <c r="L164" s="114">
        <f t="shared" si="30"/>
        <v>200</v>
      </c>
      <c r="M164" s="115">
        <f t="shared" si="26"/>
        <v>71399.794707932408</v>
      </c>
      <c r="N164" s="116"/>
    </row>
    <row r="165" spans="1:14">
      <c r="B165" s="24" t="s">
        <v>152</v>
      </c>
      <c r="D165" s="113">
        <v>10</v>
      </c>
      <c r="E165" s="112">
        <f t="shared" si="27"/>
        <v>2</v>
      </c>
      <c r="F165" s="114">
        <f t="shared" si="28"/>
        <v>20</v>
      </c>
      <c r="G165" s="113">
        <f t="shared" si="29"/>
        <v>30</v>
      </c>
      <c r="H165" s="114">
        <f t="shared" si="23"/>
        <v>40</v>
      </c>
      <c r="I165" s="113">
        <f t="shared" si="24"/>
        <v>50</v>
      </c>
      <c r="J165" s="114">
        <f t="shared" si="25"/>
        <v>60</v>
      </c>
      <c r="K165" s="113"/>
      <c r="L165" s="114">
        <f t="shared" si="30"/>
        <v>200</v>
      </c>
      <c r="M165" s="115">
        <f t="shared" si="26"/>
        <v>71599.794707932408</v>
      </c>
      <c r="N165" s="116"/>
    </row>
    <row r="166" spans="1:14">
      <c r="B166" s="24" t="s">
        <v>153</v>
      </c>
      <c r="D166" s="113">
        <v>10</v>
      </c>
      <c r="E166" s="112">
        <f t="shared" si="27"/>
        <v>2</v>
      </c>
      <c r="F166" s="114">
        <f t="shared" si="28"/>
        <v>20</v>
      </c>
      <c r="G166" s="113">
        <f t="shared" si="29"/>
        <v>30</v>
      </c>
      <c r="H166" s="114">
        <f t="shared" si="23"/>
        <v>40</v>
      </c>
      <c r="I166" s="113">
        <f t="shared" si="24"/>
        <v>50</v>
      </c>
      <c r="J166" s="114">
        <f t="shared" si="25"/>
        <v>60</v>
      </c>
      <c r="K166" s="113"/>
      <c r="L166" s="114">
        <f t="shared" si="30"/>
        <v>200</v>
      </c>
      <c r="M166" s="115">
        <f t="shared" si="26"/>
        <v>71799.794707932408</v>
      </c>
      <c r="N166" s="116"/>
    </row>
    <row r="167" spans="1:14">
      <c r="A167" s="26"/>
      <c r="B167" s="27" t="s">
        <v>154</v>
      </c>
      <c r="C167" s="26"/>
      <c r="D167" s="113">
        <v>10</v>
      </c>
      <c r="E167" s="112">
        <f t="shared" si="27"/>
        <v>2</v>
      </c>
      <c r="F167" s="112">
        <f t="shared" si="28"/>
        <v>20</v>
      </c>
      <c r="G167" s="112">
        <f t="shared" si="29"/>
        <v>30</v>
      </c>
      <c r="H167" s="112">
        <f t="shared" si="23"/>
        <v>40</v>
      </c>
      <c r="I167" s="112">
        <f t="shared" si="24"/>
        <v>50</v>
      </c>
      <c r="J167" s="112">
        <f t="shared" si="25"/>
        <v>60</v>
      </c>
      <c r="K167" s="112"/>
      <c r="L167" s="112">
        <f t="shared" si="30"/>
        <v>200</v>
      </c>
      <c r="M167" s="117">
        <f t="shared" si="26"/>
        <v>71999.794707932408</v>
      </c>
      <c r="N167" s="117">
        <f>M167-M162</f>
        <v>1000</v>
      </c>
    </row>
    <row r="168" spans="1:14">
      <c r="A168" s="23">
        <v>34</v>
      </c>
      <c r="B168" s="24" t="s">
        <v>150</v>
      </c>
      <c r="D168" s="113">
        <v>10</v>
      </c>
      <c r="E168" s="112">
        <f t="shared" si="27"/>
        <v>2</v>
      </c>
      <c r="F168" s="114">
        <f t="shared" si="28"/>
        <v>20</v>
      </c>
      <c r="G168" s="113">
        <f t="shared" si="29"/>
        <v>30</v>
      </c>
      <c r="H168" s="114">
        <f t="shared" si="23"/>
        <v>40</v>
      </c>
      <c r="I168" s="113">
        <f t="shared" si="24"/>
        <v>50</v>
      </c>
      <c r="J168" s="114">
        <f t="shared" si="25"/>
        <v>60</v>
      </c>
      <c r="K168" s="113"/>
      <c r="L168" s="114">
        <f t="shared" si="30"/>
        <v>200</v>
      </c>
      <c r="M168" s="115">
        <f t="shared" si="26"/>
        <v>72199.794707932408</v>
      </c>
      <c r="N168" s="116"/>
    </row>
    <row r="169" spans="1:14">
      <c r="B169" s="24" t="s">
        <v>151</v>
      </c>
      <c r="D169" s="113">
        <v>10</v>
      </c>
      <c r="E169" s="112">
        <f t="shared" si="27"/>
        <v>2</v>
      </c>
      <c r="F169" s="114">
        <f t="shared" si="28"/>
        <v>20</v>
      </c>
      <c r="G169" s="113">
        <f t="shared" si="29"/>
        <v>30</v>
      </c>
      <c r="H169" s="114">
        <f t="shared" si="23"/>
        <v>40</v>
      </c>
      <c r="I169" s="113">
        <f t="shared" si="24"/>
        <v>50</v>
      </c>
      <c r="J169" s="114">
        <f t="shared" si="25"/>
        <v>60</v>
      </c>
      <c r="K169" s="113"/>
      <c r="L169" s="114">
        <f t="shared" si="30"/>
        <v>200</v>
      </c>
      <c r="M169" s="115">
        <f t="shared" si="26"/>
        <v>72399.794707932408</v>
      </c>
      <c r="N169" s="116"/>
    </row>
    <row r="170" spans="1:14">
      <c r="B170" s="24" t="s">
        <v>152</v>
      </c>
      <c r="D170" s="113">
        <v>10</v>
      </c>
      <c r="E170" s="112">
        <f t="shared" si="27"/>
        <v>2</v>
      </c>
      <c r="F170" s="114">
        <f t="shared" si="28"/>
        <v>20</v>
      </c>
      <c r="G170" s="113">
        <f t="shared" si="29"/>
        <v>30</v>
      </c>
      <c r="H170" s="114">
        <f t="shared" si="23"/>
        <v>40</v>
      </c>
      <c r="I170" s="113">
        <f t="shared" si="24"/>
        <v>50</v>
      </c>
      <c r="J170" s="114">
        <f t="shared" si="25"/>
        <v>60</v>
      </c>
      <c r="K170" s="113"/>
      <c r="L170" s="114">
        <f t="shared" si="30"/>
        <v>200</v>
      </c>
      <c r="M170" s="115">
        <f t="shared" si="26"/>
        <v>72599.794707932408</v>
      </c>
      <c r="N170" s="116"/>
    </row>
    <row r="171" spans="1:14">
      <c r="B171" s="24" t="s">
        <v>153</v>
      </c>
      <c r="D171" s="113">
        <v>10</v>
      </c>
      <c r="E171" s="112">
        <f t="shared" si="27"/>
        <v>2</v>
      </c>
      <c r="F171" s="114">
        <f t="shared" si="28"/>
        <v>20</v>
      </c>
      <c r="G171" s="113">
        <f t="shared" si="29"/>
        <v>30</v>
      </c>
      <c r="H171" s="114">
        <f t="shared" si="23"/>
        <v>40</v>
      </c>
      <c r="I171" s="113">
        <f t="shared" si="24"/>
        <v>50</v>
      </c>
      <c r="J171" s="114">
        <f t="shared" si="25"/>
        <v>60</v>
      </c>
      <c r="K171" s="113"/>
      <c r="L171" s="114">
        <f t="shared" si="30"/>
        <v>200</v>
      </c>
      <c r="M171" s="115">
        <f t="shared" si="26"/>
        <v>72799.794707932408</v>
      </c>
      <c r="N171" s="116"/>
    </row>
    <row r="172" spans="1:14">
      <c r="A172" s="26"/>
      <c r="B172" s="27" t="s">
        <v>154</v>
      </c>
      <c r="C172" s="26"/>
      <c r="D172" s="113">
        <v>10</v>
      </c>
      <c r="E172" s="112">
        <f t="shared" si="27"/>
        <v>2</v>
      </c>
      <c r="F172" s="112">
        <f t="shared" si="28"/>
        <v>20</v>
      </c>
      <c r="G172" s="112">
        <f t="shared" si="29"/>
        <v>30</v>
      </c>
      <c r="H172" s="112">
        <f t="shared" si="23"/>
        <v>40</v>
      </c>
      <c r="I172" s="112">
        <f t="shared" si="24"/>
        <v>50</v>
      </c>
      <c r="J172" s="112">
        <f t="shared" si="25"/>
        <v>60</v>
      </c>
      <c r="K172" s="112"/>
      <c r="L172" s="112">
        <f t="shared" si="30"/>
        <v>200</v>
      </c>
      <c r="M172" s="117">
        <f t="shared" si="26"/>
        <v>72999.794707932408</v>
      </c>
      <c r="N172" s="117">
        <f>M172-M167</f>
        <v>1000</v>
      </c>
    </row>
    <row r="173" spans="1:14">
      <c r="A173" s="23">
        <v>35</v>
      </c>
      <c r="B173" s="24" t="s">
        <v>150</v>
      </c>
      <c r="D173" s="113">
        <v>10</v>
      </c>
      <c r="E173" s="112">
        <f t="shared" si="27"/>
        <v>2</v>
      </c>
      <c r="F173" s="114">
        <f t="shared" si="28"/>
        <v>20</v>
      </c>
      <c r="G173" s="113">
        <f t="shared" si="29"/>
        <v>30</v>
      </c>
      <c r="H173" s="114">
        <f t="shared" si="23"/>
        <v>40</v>
      </c>
      <c r="I173" s="113">
        <f t="shared" si="24"/>
        <v>50</v>
      </c>
      <c r="J173" s="114">
        <f t="shared" si="25"/>
        <v>60</v>
      </c>
      <c r="K173" s="113"/>
      <c r="L173" s="114">
        <f t="shared" si="30"/>
        <v>200</v>
      </c>
      <c r="M173" s="115">
        <f t="shared" si="26"/>
        <v>73199.794707932408</v>
      </c>
      <c r="N173" s="116"/>
    </row>
    <row r="174" spans="1:14">
      <c r="B174" s="24" t="s">
        <v>151</v>
      </c>
      <c r="D174" s="113">
        <v>10</v>
      </c>
      <c r="E174" s="112">
        <f t="shared" si="27"/>
        <v>2</v>
      </c>
      <c r="F174" s="114">
        <f t="shared" si="28"/>
        <v>20</v>
      </c>
      <c r="G174" s="113">
        <f t="shared" si="29"/>
        <v>30</v>
      </c>
      <c r="H174" s="114">
        <f t="shared" si="23"/>
        <v>40</v>
      </c>
      <c r="I174" s="113">
        <f t="shared" si="24"/>
        <v>50</v>
      </c>
      <c r="J174" s="114">
        <f t="shared" si="25"/>
        <v>60</v>
      </c>
      <c r="K174" s="113"/>
      <c r="L174" s="114">
        <f t="shared" si="30"/>
        <v>200</v>
      </c>
      <c r="M174" s="115">
        <f t="shared" si="26"/>
        <v>73399.794707932408</v>
      </c>
      <c r="N174" s="116"/>
    </row>
    <row r="175" spans="1:14">
      <c r="B175" s="24" t="s">
        <v>152</v>
      </c>
      <c r="D175" s="113">
        <v>10</v>
      </c>
      <c r="E175" s="112">
        <f t="shared" si="27"/>
        <v>2</v>
      </c>
      <c r="F175" s="114">
        <f t="shared" si="28"/>
        <v>20</v>
      </c>
      <c r="G175" s="113">
        <f t="shared" si="29"/>
        <v>30</v>
      </c>
      <c r="H175" s="114">
        <f t="shared" si="23"/>
        <v>40</v>
      </c>
      <c r="I175" s="113">
        <f t="shared" si="24"/>
        <v>50</v>
      </c>
      <c r="J175" s="114">
        <f t="shared" si="25"/>
        <v>60</v>
      </c>
      <c r="K175" s="113"/>
      <c r="L175" s="114">
        <f t="shared" si="30"/>
        <v>200</v>
      </c>
      <c r="M175" s="115">
        <f t="shared" si="26"/>
        <v>73599.794707932408</v>
      </c>
      <c r="N175" s="116"/>
    </row>
    <row r="176" spans="1:14">
      <c r="B176" s="24" t="s">
        <v>153</v>
      </c>
      <c r="D176" s="113">
        <v>10</v>
      </c>
      <c r="E176" s="112">
        <f t="shared" si="27"/>
        <v>2</v>
      </c>
      <c r="F176" s="114">
        <f t="shared" si="28"/>
        <v>20</v>
      </c>
      <c r="G176" s="113">
        <f t="shared" si="29"/>
        <v>30</v>
      </c>
      <c r="H176" s="114">
        <f t="shared" si="23"/>
        <v>40</v>
      </c>
      <c r="I176" s="113">
        <f t="shared" si="24"/>
        <v>50</v>
      </c>
      <c r="J176" s="114">
        <f t="shared" si="25"/>
        <v>60</v>
      </c>
      <c r="K176" s="113"/>
      <c r="L176" s="114">
        <f t="shared" si="30"/>
        <v>200</v>
      </c>
      <c r="M176" s="115">
        <f t="shared" si="26"/>
        <v>73799.794707932408</v>
      </c>
      <c r="N176" s="116"/>
    </row>
    <row r="177" spans="1:14">
      <c r="A177" s="26"/>
      <c r="B177" s="27" t="s">
        <v>154</v>
      </c>
      <c r="C177" s="26"/>
      <c r="D177" s="113">
        <v>10</v>
      </c>
      <c r="E177" s="112">
        <f t="shared" si="27"/>
        <v>2</v>
      </c>
      <c r="F177" s="112">
        <f t="shared" si="28"/>
        <v>20</v>
      </c>
      <c r="G177" s="112">
        <f t="shared" si="29"/>
        <v>30</v>
      </c>
      <c r="H177" s="112">
        <f t="shared" si="23"/>
        <v>40</v>
      </c>
      <c r="I177" s="112">
        <f t="shared" si="24"/>
        <v>50</v>
      </c>
      <c r="J177" s="112">
        <f t="shared" si="25"/>
        <v>60</v>
      </c>
      <c r="K177" s="112"/>
      <c r="L177" s="112">
        <f t="shared" si="30"/>
        <v>200</v>
      </c>
      <c r="M177" s="117">
        <f t="shared" si="26"/>
        <v>73999.794707932408</v>
      </c>
      <c r="N177" s="117">
        <f>M177-M172</f>
        <v>1000</v>
      </c>
    </row>
    <row r="178" spans="1:14">
      <c r="A178" s="23">
        <v>36</v>
      </c>
      <c r="B178" s="24" t="s">
        <v>150</v>
      </c>
      <c r="D178" s="113">
        <v>10</v>
      </c>
      <c r="E178" s="112">
        <f t="shared" si="27"/>
        <v>2</v>
      </c>
      <c r="F178" s="114">
        <f t="shared" si="28"/>
        <v>20</v>
      </c>
      <c r="G178" s="113">
        <f t="shared" si="29"/>
        <v>30</v>
      </c>
      <c r="H178" s="114">
        <f t="shared" si="23"/>
        <v>40</v>
      </c>
      <c r="I178" s="113">
        <f t="shared" si="24"/>
        <v>50</v>
      </c>
      <c r="J178" s="114">
        <f t="shared" si="25"/>
        <v>60</v>
      </c>
      <c r="K178" s="113"/>
      <c r="L178" s="114">
        <f t="shared" si="30"/>
        <v>200</v>
      </c>
      <c r="M178" s="115">
        <f t="shared" si="26"/>
        <v>74199.794707932408</v>
      </c>
      <c r="N178" s="116"/>
    </row>
    <row r="179" spans="1:14">
      <c r="B179" s="24" t="s">
        <v>151</v>
      </c>
      <c r="D179" s="113">
        <v>10</v>
      </c>
      <c r="E179" s="112">
        <f t="shared" si="27"/>
        <v>2</v>
      </c>
      <c r="F179" s="114">
        <f t="shared" si="28"/>
        <v>20</v>
      </c>
      <c r="G179" s="113">
        <f t="shared" si="29"/>
        <v>30</v>
      </c>
      <c r="H179" s="114">
        <f t="shared" si="23"/>
        <v>40</v>
      </c>
      <c r="I179" s="113">
        <f t="shared" si="24"/>
        <v>50</v>
      </c>
      <c r="J179" s="114">
        <f t="shared" si="25"/>
        <v>60</v>
      </c>
      <c r="K179" s="113"/>
      <c r="L179" s="114">
        <f t="shared" si="30"/>
        <v>200</v>
      </c>
      <c r="M179" s="115">
        <f t="shared" si="26"/>
        <v>74399.794707932408</v>
      </c>
      <c r="N179" s="116"/>
    </row>
    <row r="180" spans="1:14">
      <c r="B180" s="24" t="s">
        <v>152</v>
      </c>
      <c r="D180" s="113">
        <v>10</v>
      </c>
      <c r="E180" s="112">
        <f t="shared" si="27"/>
        <v>2</v>
      </c>
      <c r="F180" s="114">
        <f t="shared" si="28"/>
        <v>20</v>
      </c>
      <c r="G180" s="113">
        <f t="shared" si="29"/>
        <v>30</v>
      </c>
      <c r="H180" s="114">
        <f t="shared" si="23"/>
        <v>40</v>
      </c>
      <c r="I180" s="113">
        <f t="shared" si="24"/>
        <v>50</v>
      </c>
      <c r="J180" s="114">
        <f t="shared" si="25"/>
        <v>60</v>
      </c>
      <c r="K180" s="113"/>
      <c r="L180" s="114">
        <f t="shared" si="30"/>
        <v>200</v>
      </c>
      <c r="M180" s="115">
        <f t="shared" si="26"/>
        <v>74599.794707932408</v>
      </c>
      <c r="N180" s="116"/>
    </row>
    <row r="181" spans="1:14">
      <c r="B181" s="24" t="s">
        <v>153</v>
      </c>
      <c r="D181" s="113">
        <v>10</v>
      </c>
      <c r="E181" s="112">
        <f t="shared" si="27"/>
        <v>2</v>
      </c>
      <c r="F181" s="114">
        <f t="shared" si="28"/>
        <v>20</v>
      </c>
      <c r="G181" s="113">
        <f t="shared" si="29"/>
        <v>30</v>
      </c>
      <c r="H181" s="114">
        <f t="shared" si="23"/>
        <v>40</v>
      </c>
      <c r="I181" s="113">
        <f t="shared" si="24"/>
        <v>50</v>
      </c>
      <c r="J181" s="114">
        <f t="shared" si="25"/>
        <v>60</v>
      </c>
      <c r="K181" s="113"/>
      <c r="L181" s="114">
        <f t="shared" si="30"/>
        <v>200</v>
      </c>
      <c r="M181" s="115">
        <f t="shared" si="26"/>
        <v>74799.794707932408</v>
      </c>
      <c r="N181" s="116"/>
    </row>
    <row r="182" spans="1:14">
      <c r="A182" s="26"/>
      <c r="B182" s="27" t="s">
        <v>154</v>
      </c>
      <c r="C182" s="26"/>
      <c r="D182" s="113">
        <v>10</v>
      </c>
      <c r="E182" s="112">
        <f t="shared" si="27"/>
        <v>2</v>
      </c>
      <c r="F182" s="112">
        <f t="shared" si="28"/>
        <v>20</v>
      </c>
      <c r="G182" s="112">
        <f t="shared" si="29"/>
        <v>30</v>
      </c>
      <c r="H182" s="112">
        <f t="shared" si="23"/>
        <v>40</v>
      </c>
      <c r="I182" s="112">
        <f t="shared" si="24"/>
        <v>50</v>
      </c>
      <c r="J182" s="112">
        <f t="shared" si="25"/>
        <v>60</v>
      </c>
      <c r="K182" s="112"/>
      <c r="L182" s="112">
        <f t="shared" si="30"/>
        <v>200</v>
      </c>
      <c r="M182" s="117">
        <f t="shared" si="26"/>
        <v>74999.794707932408</v>
      </c>
      <c r="N182" s="117">
        <f>M182-M177</f>
        <v>1000</v>
      </c>
    </row>
    <row r="183" spans="1:14">
      <c r="A183" s="23">
        <v>37</v>
      </c>
      <c r="B183" s="24" t="s">
        <v>150</v>
      </c>
      <c r="D183" s="113">
        <v>10</v>
      </c>
      <c r="E183" s="112">
        <f t="shared" si="27"/>
        <v>2</v>
      </c>
      <c r="F183" s="114">
        <f t="shared" si="28"/>
        <v>20</v>
      </c>
      <c r="G183" s="113">
        <f t="shared" si="29"/>
        <v>30</v>
      </c>
      <c r="H183" s="114">
        <f t="shared" si="23"/>
        <v>40</v>
      </c>
      <c r="I183" s="113">
        <f t="shared" si="24"/>
        <v>50</v>
      </c>
      <c r="J183" s="114">
        <f t="shared" si="25"/>
        <v>60</v>
      </c>
      <c r="K183" s="113"/>
      <c r="L183" s="114">
        <f t="shared" si="30"/>
        <v>200</v>
      </c>
      <c r="M183" s="115">
        <f t="shared" si="26"/>
        <v>75199.794707932408</v>
      </c>
      <c r="N183" s="116"/>
    </row>
    <row r="184" spans="1:14">
      <c r="B184" s="24" t="s">
        <v>151</v>
      </c>
      <c r="D184" s="113">
        <v>10</v>
      </c>
      <c r="E184" s="112">
        <f t="shared" si="27"/>
        <v>2</v>
      </c>
      <c r="F184" s="114">
        <f t="shared" si="28"/>
        <v>20</v>
      </c>
      <c r="G184" s="113">
        <f t="shared" si="29"/>
        <v>30</v>
      </c>
      <c r="H184" s="114">
        <f t="shared" si="23"/>
        <v>40</v>
      </c>
      <c r="I184" s="113">
        <f t="shared" si="24"/>
        <v>50</v>
      </c>
      <c r="J184" s="114">
        <f t="shared" si="25"/>
        <v>60</v>
      </c>
      <c r="K184" s="113"/>
      <c r="L184" s="114">
        <f t="shared" si="30"/>
        <v>200</v>
      </c>
      <c r="M184" s="115">
        <f t="shared" si="26"/>
        <v>75399.794707932408</v>
      </c>
      <c r="N184" s="116"/>
    </row>
    <row r="185" spans="1:14">
      <c r="B185" s="24" t="s">
        <v>152</v>
      </c>
      <c r="D185" s="113">
        <v>10</v>
      </c>
      <c r="E185" s="112">
        <f t="shared" si="27"/>
        <v>2</v>
      </c>
      <c r="F185" s="114">
        <f t="shared" si="28"/>
        <v>20</v>
      </c>
      <c r="G185" s="113">
        <f t="shared" si="29"/>
        <v>30</v>
      </c>
      <c r="H185" s="114">
        <f t="shared" si="23"/>
        <v>40</v>
      </c>
      <c r="I185" s="113">
        <f t="shared" si="24"/>
        <v>50</v>
      </c>
      <c r="J185" s="114">
        <f t="shared" si="25"/>
        <v>60</v>
      </c>
      <c r="K185" s="113"/>
      <c r="L185" s="114">
        <f t="shared" si="30"/>
        <v>200</v>
      </c>
      <c r="M185" s="115">
        <f t="shared" si="26"/>
        <v>75599.794707932408</v>
      </c>
      <c r="N185" s="116"/>
    </row>
    <row r="186" spans="1:14">
      <c r="B186" s="24" t="s">
        <v>153</v>
      </c>
      <c r="D186" s="113">
        <v>10</v>
      </c>
      <c r="E186" s="112">
        <f t="shared" si="27"/>
        <v>2</v>
      </c>
      <c r="F186" s="114">
        <f t="shared" si="28"/>
        <v>20</v>
      </c>
      <c r="G186" s="113">
        <f t="shared" si="29"/>
        <v>30</v>
      </c>
      <c r="H186" s="114">
        <f t="shared" si="23"/>
        <v>40</v>
      </c>
      <c r="I186" s="113">
        <f t="shared" si="24"/>
        <v>50</v>
      </c>
      <c r="J186" s="114">
        <f t="shared" si="25"/>
        <v>60</v>
      </c>
      <c r="K186" s="113"/>
      <c r="L186" s="114">
        <f t="shared" si="30"/>
        <v>200</v>
      </c>
      <c r="M186" s="115">
        <f t="shared" si="26"/>
        <v>75799.794707932408</v>
      </c>
      <c r="N186" s="116"/>
    </row>
    <row r="187" spans="1:14">
      <c r="A187" s="26"/>
      <c r="B187" s="27" t="s">
        <v>154</v>
      </c>
      <c r="C187" s="26"/>
      <c r="D187" s="113">
        <v>10</v>
      </c>
      <c r="E187" s="112">
        <f t="shared" si="27"/>
        <v>2</v>
      </c>
      <c r="F187" s="112">
        <f t="shared" si="28"/>
        <v>20</v>
      </c>
      <c r="G187" s="112">
        <f t="shared" si="29"/>
        <v>30</v>
      </c>
      <c r="H187" s="112">
        <f t="shared" si="23"/>
        <v>40</v>
      </c>
      <c r="I187" s="112">
        <f t="shared" si="24"/>
        <v>50</v>
      </c>
      <c r="J187" s="112">
        <f t="shared" si="25"/>
        <v>60</v>
      </c>
      <c r="K187" s="112"/>
      <c r="L187" s="112">
        <f t="shared" si="30"/>
        <v>200</v>
      </c>
      <c r="M187" s="117">
        <f t="shared" si="26"/>
        <v>75999.794707932408</v>
      </c>
      <c r="N187" s="117">
        <f>M187-M182</f>
        <v>1000</v>
      </c>
    </row>
    <row r="188" spans="1:14">
      <c r="A188" s="23">
        <v>38</v>
      </c>
      <c r="B188" s="24" t="s">
        <v>150</v>
      </c>
      <c r="D188" s="113">
        <v>10</v>
      </c>
      <c r="E188" s="112">
        <f t="shared" si="27"/>
        <v>2</v>
      </c>
      <c r="F188" s="114">
        <f t="shared" si="28"/>
        <v>20</v>
      </c>
      <c r="G188" s="113">
        <f t="shared" si="29"/>
        <v>30</v>
      </c>
      <c r="H188" s="114">
        <f t="shared" si="23"/>
        <v>40</v>
      </c>
      <c r="I188" s="113">
        <f t="shared" si="24"/>
        <v>50</v>
      </c>
      <c r="J188" s="114">
        <f t="shared" si="25"/>
        <v>60</v>
      </c>
      <c r="K188" s="113"/>
      <c r="L188" s="114">
        <f t="shared" si="30"/>
        <v>200</v>
      </c>
      <c r="M188" s="115">
        <f t="shared" si="26"/>
        <v>76199.794707932408</v>
      </c>
      <c r="N188" s="116"/>
    </row>
    <row r="189" spans="1:14">
      <c r="B189" s="24" t="s">
        <v>151</v>
      </c>
      <c r="D189" s="113">
        <v>10</v>
      </c>
      <c r="E189" s="112">
        <f t="shared" si="27"/>
        <v>2</v>
      </c>
      <c r="F189" s="114">
        <f t="shared" si="28"/>
        <v>20</v>
      </c>
      <c r="G189" s="113">
        <f t="shared" si="29"/>
        <v>30</v>
      </c>
      <c r="H189" s="114">
        <f t="shared" si="23"/>
        <v>40</v>
      </c>
      <c r="I189" s="113">
        <f t="shared" si="24"/>
        <v>50</v>
      </c>
      <c r="J189" s="114">
        <f t="shared" si="25"/>
        <v>60</v>
      </c>
      <c r="K189" s="113"/>
      <c r="L189" s="114">
        <f t="shared" si="30"/>
        <v>200</v>
      </c>
      <c r="M189" s="115">
        <f t="shared" si="26"/>
        <v>76399.794707932408</v>
      </c>
      <c r="N189" s="116"/>
    </row>
    <row r="190" spans="1:14">
      <c r="B190" s="24" t="s">
        <v>152</v>
      </c>
      <c r="D190" s="113">
        <v>10</v>
      </c>
      <c r="E190" s="112">
        <f t="shared" si="27"/>
        <v>2</v>
      </c>
      <c r="F190" s="114">
        <f t="shared" si="28"/>
        <v>20</v>
      </c>
      <c r="G190" s="113">
        <f t="shared" si="29"/>
        <v>30</v>
      </c>
      <c r="H190" s="114">
        <f t="shared" si="23"/>
        <v>40</v>
      </c>
      <c r="I190" s="113">
        <f t="shared" si="24"/>
        <v>50</v>
      </c>
      <c r="J190" s="114">
        <f t="shared" si="25"/>
        <v>60</v>
      </c>
      <c r="K190" s="113"/>
      <c r="L190" s="114">
        <f t="shared" si="30"/>
        <v>200</v>
      </c>
      <c r="M190" s="115">
        <f t="shared" si="26"/>
        <v>76599.794707932408</v>
      </c>
      <c r="N190" s="116"/>
    </row>
    <row r="191" spans="1:14">
      <c r="B191" s="24" t="s">
        <v>153</v>
      </c>
      <c r="D191" s="113">
        <v>10</v>
      </c>
      <c r="E191" s="112">
        <f t="shared" si="27"/>
        <v>2</v>
      </c>
      <c r="F191" s="114">
        <f t="shared" si="28"/>
        <v>20</v>
      </c>
      <c r="G191" s="113">
        <f t="shared" si="29"/>
        <v>30</v>
      </c>
      <c r="H191" s="114">
        <f t="shared" si="23"/>
        <v>40</v>
      </c>
      <c r="I191" s="113">
        <f t="shared" si="24"/>
        <v>50</v>
      </c>
      <c r="J191" s="114">
        <f t="shared" si="25"/>
        <v>60</v>
      </c>
      <c r="K191" s="113"/>
      <c r="L191" s="114">
        <f t="shared" si="30"/>
        <v>200</v>
      </c>
      <c r="M191" s="115">
        <f t="shared" si="26"/>
        <v>76799.794707932408</v>
      </c>
      <c r="N191" s="116"/>
    </row>
    <row r="192" spans="1:14">
      <c r="A192" s="26"/>
      <c r="B192" s="27" t="s">
        <v>154</v>
      </c>
      <c r="C192" s="26"/>
      <c r="D192" s="113">
        <v>10</v>
      </c>
      <c r="E192" s="112">
        <f t="shared" si="27"/>
        <v>2</v>
      </c>
      <c r="F192" s="112">
        <f t="shared" si="28"/>
        <v>20</v>
      </c>
      <c r="G192" s="112">
        <f t="shared" si="29"/>
        <v>30</v>
      </c>
      <c r="H192" s="112">
        <f t="shared" si="23"/>
        <v>40</v>
      </c>
      <c r="I192" s="112">
        <f t="shared" si="24"/>
        <v>50</v>
      </c>
      <c r="J192" s="112">
        <f t="shared" si="25"/>
        <v>60</v>
      </c>
      <c r="K192" s="112"/>
      <c r="L192" s="112">
        <f t="shared" si="30"/>
        <v>200</v>
      </c>
      <c r="M192" s="117">
        <f t="shared" si="26"/>
        <v>76999.794707932408</v>
      </c>
      <c r="N192" s="117">
        <f>M192-M187</f>
        <v>1000</v>
      </c>
    </row>
    <row r="193" spans="1:14">
      <c r="A193" s="23">
        <v>39</v>
      </c>
      <c r="B193" s="24" t="s">
        <v>150</v>
      </c>
      <c r="D193" s="113">
        <v>10</v>
      </c>
      <c r="E193" s="112">
        <f t="shared" si="27"/>
        <v>2</v>
      </c>
      <c r="F193" s="114">
        <f t="shared" si="28"/>
        <v>20</v>
      </c>
      <c r="G193" s="113">
        <f t="shared" si="29"/>
        <v>30</v>
      </c>
      <c r="H193" s="114">
        <f t="shared" si="23"/>
        <v>40</v>
      </c>
      <c r="I193" s="113">
        <f t="shared" si="24"/>
        <v>50</v>
      </c>
      <c r="J193" s="114">
        <f t="shared" si="25"/>
        <v>60</v>
      </c>
      <c r="K193" s="113"/>
      <c r="L193" s="114">
        <f t="shared" si="30"/>
        <v>200</v>
      </c>
      <c r="M193" s="115">
        <f t="shared" si="26"/>
        <v>77199.794707932408</v>
      </c>
      <c r="N193" s="116"/>
    </row>
    <row r="194" spans="1:14">
      <c r="B194" s="24" t="s">
        <v>151</v>
      </c>
      <c r="D194" s="113">
        <v>10</v>
      </c>
      <c r="E194" s="112">
        <f t="shared" si="27"/>
        <v>2</v>
      </c>
      <c r="F194" s="114">
        <f t="shared" si="28"/>
        <v>20</v>
      </c>
      <c r="G194" s="113">
        <f t="shared" si="29"/>
        <v>30</v>
      </c>
      <c r="H194" s="114">
        <f t="shared" si="23"/>
        <v>40</v>
      </c>
      <c r="I194" s="113">
        <f t="shared" si="24"/>
        <v>50</v>
      </c>
      <c r="J194" s="114">
        <f t="shared" si="25"/>
        <v>60</v>
      </c>
      <c r="K194" s="113"/>
      <c r="L194" s="114">
        <f t="shared" si="30"/>
        <v>200</v>
      </c>
      <c r="M194" s="115">
        <f t="shared" si="26"/>
        <v>77399.794707932408</v>
      </c>
      <c r="N194" s="116"/>
    </row>
    <row r="195" spans="1:14">
      <c r="B195" s="24" t="s">
        <v>152</v>
      </c>
      <c r="D195" s="113">
        <v>10</v>
      </c>
      <c r="E195" s="112">
        <f t="shared" si="27"/>
        <v>2</v>
      </c>
      <c r="F195" s="114">
        <f t="shared" si="28"/>
        <v>20</v>
      </c>
      <c r="G195" s="113">
        <f t="shared" si="29"/>
        <v>30</v>
      </c>
      <c r="H195" s="114">
        <f t="shared" ref="H195:H247" si="31">E195*$H$1</f>
        <v>40</v>
      </c>
      <c r="I195" s="113">
        <f t="shared" si="24"/>
        <v>50</v>
      </c>
      <c r="J195" s="114">
        <f t="shared" si="25"/>
        <v>60</v>
      </c>
      <c r="K195" s="113"/>
      <c r="L195" s="114">
        <f>SUM(F195:K195)</f>
        <v>200</v>
      </c>
      <c r="M195" s="115">
        <f t="shared" si="26"/>
        <v>77599.794707932408</v>
      </c>
      <c r="N195" s="116"/>
    </row>
    <row r="196" spans="1:14">
      <c r="B196" s="24" t="s">
        <v>153</v>
      </c>
      <c r="D196" s="113">
        <v>10</v>
      </c>
      <c r="E196" s="112">
        <f t="shared" si="27"/>
        <v>2</v>
      </c>
      <c r="F196" s="114">
        <f t="shared" si="28"/>
        <v>20</v>
      </c>
      <c r="G196" s="113">
        <f t="shared" si="29"/>
        <v>30</v>
      </c>
      <c r="H196" s="114">
        <f t="shared" si="31"/>
        <v>40</v>
      </c>
      <c r="I196" s="113">
        <f t="shared" ref="I196:I247" si="32">E196*$I$1</f>
        <v>50</v>
      </c>
      <c r="J196" s="114">
        <f t="shared" ref="J196:J247" si="33">E196*$J$1</f>
        <v>60</v>
      </c>
      <c r="K196" s="113"/>
      <c r="L196" s="114">
        <f>SUM(F196:K196)</f>
        <v>200</v>
      </c>
      <c r="M196" s="115">
        <f t="shared" ref="M196:M247" si="34">SUM(F196:K196)+M195</f>
        <v>77799.794707932408</v>
      </c>
      <c r="N196" s="116"/>
    </row>
    <row r="197" spans="1:14">
      <c r="A197" s="26"/>
      <c r="B197" s="27" t="s">
        <v>154</v>
      </c>
      <c r="C197" s="26"/>
      <c r="D197" s="113">
        <v>10</v>
      </c>
      <c r="E197" s="112">
        <f t="shared" si="27"/>
        <v>2</v>
      </c>
      <c r="F197" s="112">
        <f t="shared" si="28"/>
        <v>20</v>
      </c>
      <c r="G197" s="112">
        <f t="shared" si="29"/>
        <v>30</v>
      </c>
      <c r="H197" s="112">
        <f t="shared" si="31"/>
        <v>40</v>
      </c>
      <c r="I197" s="112">
        <f t="shared" si="32"/>
        <v>50</v>
      </c>
      <c r="J197" s="112">
        <f t="shared" si="33"/>
        <v>60</v>
      </c>
      <c r="K197" s="112"/>
      <c r="L197" s="112">
        <f>SUM(F197:K197)</f>
        <v>200</v>
      </c>
      <c r="M197" s="117">
        <f t="shared" si="34"/>
        <v>77999.794707932408</v>
      </c>
      <c r="N197" s="117">
        <f>M197-M192</f>
        <v>1000</v>
      </c>
    </row>
    <row r="198" spans="1:14">
      <c r="A198" s="23">
        <v>40</v>
      </c>
      <c r="B198" s="24" t="s">
        <v>150</v>
      </c>
      <c r="D198" s="113">
        <v>10</v>
      </c>
      <c r="E198" s="112">
        <f t="shared" si="27"/>
        <v>2</v>
      </c>
      <c r="F198" s="114">
        <f t="shared" si="28"/>
        <v>20</v>
      </c>
      <c r="G198" s="113">
        <f t="shared" si="29"/>
        <v>30</v>
      </c>
      <c r="H198" s="114">
        <f t="shared" si="31"/>
        <v>40</v>
      </c>
      <c r="I198" s="113">
        <f t="shared" si="32"/>
        <v>50</v>
      </c>
      <c r="J198" s="114">
        <f t="shared" si="33"/>
        <v>60</v>
      </c>
      <c r="K198" s="113"/>
      <c r="L198" s="114">
        <f>SUM(F198:K198)</f>
        <v>200</v>
      </c>
      <c r="M198" s="115">
        <f t="shared" si="34"/>
        <v>78199.794707932408</v>
      </c>
      <c r="N198" s="116"/>
    </row>
    <row r="199" spans="1:14">
      <c r="B199" s="24" t="s">
        <v>151</v>
      </c>
      <c r="D199" s="113">
        <v>10</v>
      </c>
      <c r="E199" s="112">
        <f t="shared" si="27"/>
        <v>2</v>
      </c>
      <c r="F199" s="114">
        <f t="shared" si="28"/>
        <v>20</v>
      </c>
      <c r="G199" s="113">
        <f t="shared" si="29"/>
        <v>30</v>
      </c>
      <c r="H199" s="114">
        <f t="shared" si="31"/>
        <v>40</v>
      </c>
      <c r="I199" s="113">
        <f t="shared" si="32"/>
        <v>50</v>
      </c>
      <c r="J199" s="114">
        <f t="shared" si="33"/>
        <v>60</v>
      </c>
      <c r="K199" s="113"/>
      <c r="L199" s="114">
        <f t="shared" ref="L199:L247" si="35">SUM(F199:K199)</f>
        <v>200</v>
      </c>
      <c r="M199" s="115">
        <f t="shared" si="34"/>
        <v>78399.794707932408</v>
      </c>
      <c r="N199" s="116"/>
    </row>
    <row r="200" spans="1:14">
      <c r="B200" s="24" t="s">
        <v>152</v>
      </c>
      <c r="D200" s="113">
        <v>10</v>
      </c>
      <c r="E200" s="112">
        <f t="shared" si="27"/>
        <v>2</v>
      </c>
      <c r="F200" s="114">
        <f t="shared" si="28"/>
        <v>20</v>
      </c>
      <c r="G200" s="113">
        <f t="shared" si="29"/>
        <v>30</v>
      </c>
      <c r="H200" s="114">
        <f t="shared" si="31"/>
        <v>40</v>
      </c>
      <c r="I200" s="113">
        <f t="shared" si="32"/>
        <v>50</v>
      </c>
      <c r="J200" s="114">
        <f t="shared" si="33"/>
        <v>60</v>
      </c>
      <c r="K200" s="113"/>
      <c r="L200" s="114">
        <f t="shared" si="35"/>
        <v>200</v>
      </c>
      <c r="M200" s="115">
        <f t="shared" si="34"/>
        <v>78599.794707932408</v>
      </c>
      <c r="N200" s="116"/>
    </row>
    <row r="201" spans="1:14">
      <c r="B201" s="24" t="s">
        <v>153</v>
      </c>
      <c r="D201" s="113">
        <v>10</v>
      </c>
      <c r="E201" s="112">
        <f t="shared" si="27"/>
        <v>2</v>
      </c>
      <c r="F201" s="114">
        <f t="shared" si="28"/>
        <v>20</v>
      </c>
      <c r="G201" s="113">
        <f t="shared" si="29"/>
        <v>30</v>
      </c>
      <c r="H201" s="114">
        <f t="shared" si="31"/>
        <v>40</v>
      </c>
      <c r="I201" s="113">
        <f t="shared" si="32"/>
        <v>50</v>
      </c>
      <c r="J201" s="114">
        <f t="shared" si="33"/>
        <v>60</v>
      </c>
      <c r="K201" s="113"/>
      <c r="L201" s="114">
        <f t="shared" si="35"/>
        <v>200</v>
      </c>
      <c r="M201" s="115">
        <f t="shared" si="34"/>
        <v>78799.794707932408</v>
      </c>
      <c r="N201" s="116"/>
    </row>
    <row r="202" spans="1:14">
      <c r="A202" s="26"/>
      <c r="B202" s="27" t="s">
        <v>154</v>
      </c>
      <c r="C202" s="26"/>
      <c r="D202" s="113">
        <v>10</v>
      </c>
      <c r="E202" s="112">
        <f t="shared" si="27"/>
        <v>2</v>
      </c>
      <c r="F202" s="112">
        <f t="shared" si="28"/>
        <v>20</v>
      </c>
      <c r="G202" s="112">
        <f t="shared" si="29"/>
        <v>30</v>
      </c>
      <c r="H202" s="112">
        <f t="shared" si="31"/>
        <v>40</v>
      </c>
      <c r="I202" s="112">
        <f t="shared" si="32"/>
        <v>50</v>
      </c>
      <c r="J202" s="112">
        <f t="shared" si="33"/>
        <v>60</v>
      </c>
      <c r="K202" s="112"/>
      <c r="L202" s="112">
        <f t="shared" si="35"/>
        <v>200</v>
      </c>
      <c r="M202" s="117">
        <f t="shared" si="34"/>
        <v>78999.794707932408</v>
      </c>
      <c r="N202" s="117">
        <f>M202-M197</f>
        <v>1000</v>
      </c>
    </row>
    <row r="203" spans="1:14">
      <c r="A203" s="23">
        <v>41</v>
      </c>
      <c r="B203" s="24" t="s">
        <v>150</v>
      </c>
      <c r="D203" s="113">
        <v>10</v>
      </c>
      <c r="E203" s="112">
        <f t="shared" si="27"/>
        <v>2</v>
      </c>
      <c r="F203" s="114">
        <f t="shared" si="28"/>
        <v>20</v>
      </c>
      <c r="G203" s="113">
        <f t="shared" si="29"/>
        <v>30</v>
      </c>
      <c r="H203" s="114">
        <f t="shared" si="31"/>
        <v>40</v>
      </c>
      <c r="I203" s="113">
        <f t="shared" si="32"/>
        <v>50</v>
      </c>
      <c r="J203" s="114">
        <f t="shared" si="33"/>
        <v>60</v>
      </c>
      <c r="K203" s="113"/>
      <c r="L203" s="114">
        <f t="shared" si="35"/>
        <v>200</v>
      </c>
      <c r="M203" s="115">
        <f t="shared" si="34"/>
        <v>79199.794707932408</v>
      </c>
      <c r="N203" s="116"/>
    </row>
    <row r="204" spans="1:14">
      <c r="B204" s="24" t="s">
        <v>151</v>
      </c>
      <c r="D204" s="113">
        <v>10</v>
      </c>
      <c r="E204" s="112">
        <f t="shared" si="27"/>
        <v>2</v>
      </c>
      <c r="F204" s="114">
        <f t="shared" si="28"/>
        <v>20</v>
      </c>
      <c r="G204" s="113">
        <f t="shared" si="29"/>
        <v>30</v>
      </c>
      <c r="H204" s="114">
        <f t="shared" si="31"/>
        <v>40</v>
      </c>
      <c r="I204" s="113">
        <f t="shared" si="32"/>
        <v>50</v>
      </c>
      <c r="J204" s="114">
        <f t="shared" si="33"/>
        <v>60</v>
      </c>
      <c r="K204" s="113"/>
      <c r="L204" s="114">
        <f t="shared" si="35"/>
        <v>200</v>
      </c>
      <c r="M204" s="115">
        <f t="shared" si="34"/>
        <v>79399.794707932408</v>
      </c>
      <c r="N204" s="116"/>
    </row>
    <row r="205" spans="1:14">
      <c r="B205" s="24" t="s">
        <v>152</v>
      </c>
      <c r="D205" s="113">
        <v>10</v>
      </c>
      <c r="E205" s="112">
        <f t="shared" si="27"/>
        <v>2</v>
      </c>
      <c r="F205" s="114">
        <f t="shared" si="28"/>
        <v>20</v>
      </c>
      <c r="G205" s="113">
        <f t="shared" si="29"/>
        <v>30</v>
      </c>
      <c r="H205" s="114">
        <f t="shared" si="31"/>
        <v>40</v>
      </c>
      <c r="I205" s="113">
        <f t="shared" si="32"/>
        <v>50</v>
      </c>
      <c r="J205" s="114">
        <f t="shared" si="33"/>
        <v>60</v>
      </c>
      <c r="K205" s="113"/>
      <c r="L205" s="114">
        <f t="shared" si="35"/>
        <v>200</v>
      </c>
      <c r="M205" s="115">
        <f t="shared" si="34"/>
        <v>79599.794707932408</v>
      </c>
      <c r="N205" s="116"/>
    </row>
    <row r="206" spans="1:14">
      <c r="B206" s="24" t="s">
        <v>153</v>
      </c>
      <c r="D206" s="113">
        <v>10</v>
      </c>
      <c r="E206" s="112">
        <f t="shared" si="27"/>
        <v>2</v>
      </c>
      <c r="F206" s="114">
        <f t="shared" si="28"/>
        <v>20</v>
      </c>
      <c r="G206" s="113">
        <f t="shared" si="29"/>
        <v>30</v>
      </c>
      <c r="H206" s="114">
        <f t="shared" si="31"/>
        <v>40</v>
      </c>
      <c r="I206" s="113">
        <f t="shared" si="32"/>
        <v>50</v>
      </c>
      <c r="J206" s="114">
        <f t="shared" si="33"/>
        <v>60</v>
      </c>
      <c r="K206" s="113"/>
      <c r="L206" s="114">
        <f t="shared" si="35"/>
        <v>200</v>
      </c>
      <c r="M206" s="115">
        <f t="shared" si="34"/>
        <v>79799.794707932408</v>
      </c>
      <c r="N206" s="116"/>
    </row>
    <row r="207" spans="1:14">
      <c r="A207" s="26"/>
      <c r="B207" s="27" t="s">
        <v>154</v>
      </c>
      <c r="C207" s="26"/>
      <c r="D207" s="113">
        <v>10</v>
      </c>
      <c r="E207" s="112">
        <f t="shared" si="27"/>
        <v>2</v>
      </c>
      <c r="F207" s="112">
        <f t="shared" si="28"/>
        <v>20</v>
      </c>
      <c r="G207" s="112">
        <f t="shared" si="29"/>
        <v>30</v>
      </c>
      <c r="H207" s="112">
        <f t="shared" si="31"/>
        <v>40</v>
      </c>
      <c r="I207" s="112">
        <f t="shared" si="32"/>
        <v>50</v>
      </c>
      <c r="J207" s="112">
        <f t="shared" si="33"/>
        <v>60</v>
      </c>
      <c r="K207" s="112"/>
      <c r="L207" s="112">
        <f t="shared" si="35"/>
        <v>200</v>
      </c>
      <c r="M207" s="117">
        <f t="shared" si="34"/>
        <v>79999.794707932408</v>
      </c>
      <c r="N207" s="117">
        <f>M207-M202</f>
        <v>1000</v>
      </c>
    </row>
    <row r="208" spans="1:14">
      <c r="A208" s="23">
        <v>42</v>
      </c>
      <c r="B208" s="24" t="s">
        <v>150</v>
      </c>
      <c r="D208" s="113">
        <v>10</v>
      </c>
      <c r="E208" s="112">
        <f t="shared" si="27"/>
        <v>2</v>
      </c>
      <c r="F208" s="114">
        <f t="shared" si="28"/>
        <v>20</v>
      </c>
      <c r="G208" s="113">
        <f t="shared" si="29"/>
        <v>30</v>
      </c>
      <c r="H208" s="114">
        <f t="shared" si="31"/>
        <v>40</v>
      </c>
      <c r="I208" s="113">
        <f t="shared" si="32"/>
        <v>50</v>
      </c>
      <c r="J208" s="114">
        <f t="shared" si="33"/>
        <v>60</v>
      </c>
      <c r="K208" s="113"/>
      <c r="L208" s="114">
        <f t="shared" si="35"/>
        <v>200</v>
      </c>
      <c r="M208" s="115">
        <f t="shared" si="34"/>
        <v>80199.794707932408</v>
      </c>
      <c r="N208" s="116"/>
    </row>
    <row r="209" spans="1:14">
      <c r="B209" s="24" t="s">
        <v>151</v>
      </c>
      <c r="D209" s="113">
        <v>10</v>
      </c>
      <c r="E209" s="112">
        <f t="shared" si="27"/>
        <v>2</v>
      </c>
      <c r="F209" s="114">
        <f t="shared" si="28"/>
        <v>20</v>
      </c>
      <c r="G209" s="113">
        <f t="shared" si="29"/>
        <v>30</v>
      </c>
      <c r="H209" s="114">
        <f t="shared" si="31"/>
        <v>40</v>
      </c>
      <c r="I209" s="113">
        <f t="shared" si="32"/>
        <v>50</v>
      </c>
      <c r="J209" s="114">
        <f t="shared" si="33"/>
        <v>60</v>
      </c>
      <c r="K209" s="113"/>
      <c r="L209" s="114">
        <f t="shared" si="35"/>
        <v>200</v>
      </c>
      <c r="M209" s="115">
        <f t="shared" si="34"/>
        <v>80399.794707932408</v>
      </c>
      <c r="N209" s="116"/>
    </row>
    <row r="210" spans="1:14">
      <c r="B210" s="24" t="s">
        <v>152</v>
      </c>
      <c r="D210" s="113">
        <v>10</v>
      </c>
      <c r="E210" s="112">
        <f t="shared" si="27"/>
        <v>2</v>
      </c>
      <c r="F210" s="114">
        <f t="shared" si="28"/>
        <v>20</v>
      </c>
      <c r="G210" s="113">
        <f t="shared" si="29"/>
        <v>30</v>
      </c>
      <c r="H210" s="114">
        <f t="shared" si="31"/>
        <v>40</v>
      </c>
      <c r="I210" s="113">
        <f t="shared" si="32"/>
        <v>50</v>
      </c>
      <c r="J210" s="114">
        <f t="shared" si="33"/>
        <v>60</v>
      </c>
      <c r="K210" s="113"/>
      <c r="L210" s="114">
        <f t="shared" si="35"/>
        <v>200</v>
      </c>
      <c r="M210" s="115">
        <f t="shared" si="34"/>
        <v>80599.794707932408</v>
      </c>
      <c r="N210" s="116"/>
    </row>
    <row r="211" spans="1:14">
      <c r="B211" s="24" t="s">
        <v>153</v>
      </c>
      <c r="D211" s="113">
        <v>10</v>
      </c>
      <c r="E211" s="112">
        <f t="shared" ref="E211:E247" si="36">D211/$B$2</f>
        <v>2</v>
      </c>
      <c r="F211" s="114">
        <f t="shared" ref="F211:F247" si="37">E211*$F$1</f>
        <v>20</v>
      </c>
      <c r="G211" s="113">
        <f t="shared" si="29"/>
        <v>30</v>
      </c>
      <c r="H211" s="114">
        <f t="shared" si="31"/>
        <v>40</v>
      </c>
      <c r="I211" s="113">
        <f t="shared" si="32"/>
        <v>50</v>
      </c>
      <c r="J211" s="114">
        <f t="shared" si="33"/>
        <v>60</v>
      </c>
      <c r="K211" s="113"/>
      <c r="L211" s="114">
        <f t="shared" si="35"/>
        <v>200</v>
      </c>
      <c r="M211" s="115">
        <f t="shared" si="34"/>
        <v>80799.794707932408</v>
      </c>
      <c r="N211" s="116"/>
    </row>
    <row r="212" spans="1:14">
      <c r="A212" s="26"/>
      <c r="B212" s="27" t="s">
        <v>154</v>
      </c>
      <c r="C212" s="26"/>
      <c r="D212" s="113">
        <v>10</v>
      </c>
      <c r="E212" s="112">
        <f t="shared" si="36"/>
        <v>2</v>
      </c>
      <c r="F212" s="112">
        <f t="shared" si="37"/>
        <v>20</v>
      </c>
      <c r="G212" s="112">
        <f t="shared" si="29"/>
        <v>30</v>
      </c>
      <c r="H212" s="112">
        <f t="shared" si="31"/>
        <v>40</v>
      </c>
      <c r="I212" s="112">
        <f t="shared" si="32"/>
        <v>50</v>
      </c>
      <c r="J212" s="112">
        <f t="shared" si="33"/>
        <v>60</v>
      </c>
      <c r="K212" s="112"/>
      <c r="L212" s="112">
        <f t="shared" si="35"/>
        <v>200</v>
      </c>
      <c r="M212" s="117">
        <f t="shared" si="34"/>
        <v>80999.794707932408</v>
      </c>
      <c r="N212" s="117">
        <f>M212-M207</f>
        <v>1000</v>
      </c>
    </row>
    <row r="213" spans="1:14">
      <c r="A213" s="23">
        <v>43</v>
      </c>
      <c r="B213" s="24" t="s">
        <v>150</v>
      </c>
      <c r="D213" s="113">
        <v>10</v>
      </c>
      <c r="E213" s="112">
        <f t="shared" si="36"/>
        <v>2</v>
      </c>
      <c r="F213" s="114">
        <f t="shared" si="37"/>
        <v>20</v>
      </c>
      <c r="G213" s="113">
        <f t="shared" si="29"/>
        <v>30</v>
      </c>
      <c r="H213" s="114">
        <f t="shared" si="31"/>
        <v>40</v>
      </c>
      <c r="I213" s="113">
        <f t="shared" si="32"/>
        <v>50</v>
      </c>
      <c r="J213" s="114">
        <f t="shared" si="33"/>
        <v>60</v>
      </c>
      <c r="K213" s="113"/>
      <c r="L213" s="114">
        <f t="shared" si="35"/>
        <v>200</v>
      </c>
      <c r="M213" s="115">
        <f t="shared" si="34"/>
        <v>81199.794707932408</v>
      </c>
      <c r="N213" s="116"/>
    </row>
    <row r="214" spans="1:14">
      <c r="B214" s="24" t="s">
        <v>151</v>
      </c>
      <c r="D214" s="113">
        <v>10</v>
      </c>
      <c r="E214" s="112">
        <f t="shared" si="36"/>
        <v>2</v>
      </c>
      <c r="F214" s="114">
        <f t="shared" si="37"/>
        <v>20</v>
      </c>
      <c r="G214" s="113">
        <f t="shared" si="29"/>
        <v>30</v>
      </c>
      <c r="H214" s="114">
        <f t="shared" si="31"/>
        <v>40</v>
      </c>
      <c r="I214" s="113">
        <f t="shared" si="32"/>
        <v>50</v>
      </c>
      <c r="J214" s="114">
        <f t="shared" si="33"/>
        <v>60</v>
      </c>
      <c r="K214" s="113"/>
      <c r="L214" s="114">
        <f t="shared" si="35"/>
        <v>200</v>
      </c>
      <c r="M214" s="115">
        <f t="shared" si="34"/>
        <v>81399.794707932408</v>
      </c>
      <c r="N214" s="116"/>
    </row>
    <row r="215" spans="1:14">
      <c r="B215" s="24" t="s">
        <v>152</v>
      </c>
      <c r="D215" s="113">
        <v>10</v>
      </c>
      <c r="E215" s="112">
        <f t="shared" si="36"/>
        <v>2</v>
      </c>
      <c r="F215" s="114">
        <f t="shared" si="37"/>
        <v>20</v>
      </c>
      <c r="G215" s="113">
        <f t="shared" si="29"/>
        <v>30</v>
      </c>
      <c r="H215" s="114">
        <f t="shared" si="31"/>
        <v>40</v>
      </c>
      <c r="I215" s="113">
        <f t="shared" si="32"/>
        <v>50</v>
      </c>
      <c r="J215" s="114">
        <f t="shared" si="33"/>
        <v>60</v>
      </c>
      <c r="K215" s="113"/>
      <c r="L215" s="114">
        <f t="shared" si="35"/>
        <v>200</v>
      </c>
      <c r="M215" s="115">
        <f t="shared" si="34"/>
        <v>81599.794707932408</v>
      </c>
      <c r="N215" s="116"/>
    </row>
    <row r="216" spans="1:14">
      <c r="B216" s="24" t="s">
        <v>153</v>
      </c>
      <c r="D216" s="113">
        <v>10</v>
      </c>
      <c r="E216" s="112">
        <f t="shared" si="36"/>
        <v>2</v>
      </c>
      <c r="F216" s="114">
        <f t="shared" si="37"/>
        <v>20</v>
      </c>
      <c r="G216" s="113">
        <f t="shared" si="29"/>
        <v>30</v>
      </c>
      <c r="H216" s="114">
        <f t="shared" si="31"/>
        <v>40</v>
      </c>
      <c r="I216" s="113">
        <f t="shared" si="32"/>
        <v>50</v>
      </c>
      <c r="J216" s="114">
        <f t="shared" si="33"/>
        <v>60</v>
      </c>
      <c r="K216" s="113"/>
      <c r="L216" s="114">
        <f t="shared" si="35"/>
        <v>200</v>
      </c>
      <c r="M216" s="115">
        <f t="shared" si="34"/>
        <v>81799.794707932408</v>
      </c>
      <c r="N216" s="116"/>
    </row>
    <row r="217" spans="1:14">
      <c r="A217" s="26"/>
      <c r="B217" s="27" t="s">
        <v>154</v>
      </c>
      <c r="C217" s="26"/>
      <c r="D217" s="113">
        <v>10</v>
      </c>
      <c r="E217" s="112">
        <f t="shared" si="36"/>
        <v>2</v>
      </c>
      <c r="F217" s="112">
        <f t="shared" si="37"/>
        <v>20</v>
      </c>
      <c r="G217" s="112">
        <f t="shared" si="29"/>
        <v>30</v>
      </c>
      <c r="H217" s="112">
        <f t="shared" si="31"/>
        <v>40</v>
      </c>
      <c r="I217" s="112">
        <f t="shared" si="32"/>
        <v>50</v>
      </c>
      <c r="J217" s="112">
        <f t="shared" si="33"/>
        <v>60</v>
      </c>
      <c r="K217" s="112"/>
      <c r="L217" s="112">
        <f t="shared" si="35"/>
        <v>200</v>
      </c>
      <c r="M217" s="117">
        <f t="shared" si="34"/>
        <v>81999.794707932408</v>
      </c>
      <c r="N217" s="117">
        <f>M217-M212</f>
        <v>1000</v>
      </c>
    </row>
    <row r="218" spans="1:14">
      <c r="A218" s="23">
        <v>44</v>
      </c>
      <c r="B218" s="24" t="s">
        <v>150</v>
      </c>
      <c r="D218" s="113">
        <v>10</v>
      </c>
      <c r="E218" s="112">
        <f t="shared" si="36"/>
        <v>2</v>
      </c>
      <c r="F218" s="114">
        <f t="shared" si="37"/>
        <v>20</v>
      </c>
      <c r="G218" s="113">
        <f t="shared" si="29"/>
        <v>30</v>
      </c>
      <c r="H218" s="114">
        <f t="shared" si="31"/>
        <v>40</v>
      </c>
      <c r="I218" s="113">
        <f t="shared" si="32"/>
        <v>50</v>
      </c>
      <c r="J218" s="114">
        <f t="shared" si="33"/>
        <v>60</v>
      </c>
      <c r="K218" s="113"/>
      <c r="L218" s="114">
        <f t="shared" si="35"/>
        <v>200</v>
      </c>
      <c r="M218" s="115">
        <f t="shared" si="34"/>
        <v>82199.794707932408</v>
      </c>
      <c r="N218" s="116"/>
    </row>
    <row r="219" spans="1:14">
      <c r="B219" s="24" t="s">
        <v>151</v>
      </c>
      <c r="D219" s="113">
        <v>10</v>
      </c>
      <c r="E219" s="112">
        <f t="shared" si="36"/>
        <v>2</v>
      </c>
      <c r="F219" s="114">
        <f t="shared" si="37"/>
        <v>20</v>
      </c>
      <c r="G219" s="113">
        <f t="shared" si="29"/>
        <v>30</v>
      </c>
      <c r="H219" s="114">
        <f t="shared" si="31"/>
        <v>40</v>
      </c>
      <c r="I219" s="113">
        <f t="shared" si="32"/>
        <v>50</v>
      </c>
      <c r="J219" s="114">
        <f t="shared" si="33"/>
        <v>60</v>
      </c>
      <c r="K219" s="113"/>
      <c r="L219" s="114">
        <f t="shared" si="35"/>
        <v>200</v>
      </c>
      <c r="M219" s="115">
        <f t="shared" si="34"/>
        <v>82399.794707932408</v>
      </c>
      <c r="N219" s="116"/>
    </row>
    <row r="220" spans="1:14">
      <c r="B220" s="24" t="s">
        <v>152</v>
      </c>
      <c r="D220" s="113">
        <v>10</v>
      </c>
      <c r="E220" s="112">
        <f t="shared" si="36"/>
        <v>2</v>
      </c>
      <c r="F220" s="114">
        <f t="shared" si="37"/>
        <v>20</v>
      </c>
      <c r="G220" s="113">
        <f t="shared" si="29"/>
        <v>30</v>
      </c>
      <c r="H220" s="114">
        <f t="shared" si="31"/>
        <v>40</v>
      </c>
      <c r="I220" s="113">
        <f t="shared" si="32"/>
        <v>50</v>
      </c>
      <c r="J220" s="114">
        <f t="shared" si="33"/>
        <v>60</v>
      </c>
      <c r="K220" s="113"/>
      <c r="L220" s="114">
        <f t="shared" si="35"/>
        <v>200</v>
      </c>
      <c r="M220" s="115">
        <f t="shared" si="34"/>
        <v>82599.794707932408</v>
      </c>
      <c r="N220" s="116"/>
    </row>
    <row r="221" spans="1:14">
      <c r="B221" s="24" t="s">
        <v>153</v>
      </c>
      <c r="D221" s="113">
        <v>10</v>
      </c>
      <c r="E221" s="112">
        <f t="shared" si="36"/>
        <v>2</v>
      </c>
      <c r="F221" s="114">
        <f t="shared" si="37"/>
        <v>20</v>
      </c>
      <c r="G221" s="113">
        <f t="shared" ref="G221:G247" si="38">E221*$G$1</f>
        <v>30</v>
      </c>
      <c r="H221" s="114">
        <f t="shared" si="31"/>
        <v>40</v>
      </c>
      <c r="I221" s="113">
        <f t="shared" si="32"/>
        <v>50</v>
      </c>
      <c r="J221" s="114">
        <f t="shared" si="33"/>
        <v>60</v>
      </c>
      <c r="K221" s="113"/>
      <c r="L221" s="114">
        <f t="shared" si="35"/>
        <v>200</v>
      </c>
      <c r="M221" s="115">
        <f t="shared" si="34"/>
        <v>82799.794707932408</v>
      </c>
      <c r="N221" s="116"/>
    </row>
    <row r="222" spans="1:14">
      <c r="A222" s="26"/>
      <c r="B222" s="27" t="s">
        <v>154</v>
      </c>
      <c r="C222" s="26"/>
      <c r="D222" s="113">
        <v>10</v>
      </c>
      <c r="E222" s="112">
        <f t="shared" si="36"/>
        <v>2</v>
      </c>
      <c r="F222" s="112">
        <f t="shared" si="37"/>
        <v>20</v>
      </c>
      <c r="G222" s="112">
        <f t="shared" si="38"/>
        <v>30</v>
      </c>
      <c r="H222" s="112">
        <f t="shared" si="31"/>
        <v>40</v>
      </c>
      <c r="I222" s="112">
        <f t="shared" si="32"/>
        <v>50</v>
      </c>
      <c r="J222" s="112">
        <f t="shared" si="33"/>
        <v>60</v>
      </c>
      <c r="K222" s="112"/>
      <c r="L222" s="112">
        <f t="shared" si="35"/>
        <v>200</v>
      </c>
      <c r="M222" s="117">
        <f t="shared" si="34"/>
        <v>82999.794707932408</v>
      </c>
      <c r="N222" s="117">
        <f>M222-M217</f>
        <v>1000</v>
      </c>
    </row>
    <row r="223" spans="1:14">
      <c r="A223" s="23">
        <v>45</v>
      </c>
      <c r="B223" s="24" t="s">
        <v>150</v>
      </c>
      <c r="D223" s="113">
        <v>10</v>
      </c>
      <c r="E223" s="112">
        <f t="shared" si="36"/>
        <v>2</v>
      </c>
      <c r="F223" s="114">
        <f t="shared" si="37"/>
        <v>20</v>
      </c>
      <c r="G223" s="113">
        <f t="shared" si="38"/>
        <v>30</v>
      </c>
      <c r="H223" s="114">
        <f t="shared" si="31"/>
        <v>40</v>
      </c>
      <c r="I223" s="113">
        <f t="shared" si="32"/>
        <v>50</v>
      </c>
      <c r="J223" s="114">
        <f t="shared" si="33"/>
        <v>60</v>
      </c>
      <c r="K223" s="113"/>
      <c r="L223" s="114">
        <f t="shared" si="35"/>
        <v>200</v>
      </c>
      <c r="M223" s="115">
        <f t="shared" si="34"/>
        <v>83199.794707932408</v>
      </c>
      <c r="N223" s="116"/>
    </row>
    <row r="224" spans="1:14">
      <c r="B224" s="24" t="s">
        <v>151</v>
      </c>
      <c r="D224" s="113">
        <v>10</v>
      </c>
      <c r="E224" s="112">
        <f t="shared" si="36"/>
        <v>2</v>
      </c>
      <c r="F224" s="114">
        <f t="shared" si="37"/>
        <v>20</v>
      </c>
      <c r="G224" s="113">
        <f t="shared" si="38"/>
        <v>30</v>
      </c>
      <c r="H224" s="114">
        <f t="shared" si="31"/>
        <v>40</v>
      </c>
      <c r="I224" s="113">
        <f t="shared" si="32"/>
        <v>50</v>
      </c>
      <c r="J224" s="114">
        <f t="shared" si="33"/>
        <v>60</v>
      </c>
      <c r="K224" s="113"/>
      <c r="L224" s="114">
        <f t="shared" si="35"/>
        <v>200</v>
      </c>
      <c r="M224" s="115">
        <f t="shared" si="34"/>
        <v>83399.794707932408</v>
      </c>
      <c r="N224" s="116"/>
    </row>
    <row r="225" spans="1:14">
      <c r="B225" s="24" t="s">
        <v>152</v>
      </c>
      <c r="D225" s="113">
        <v>10</v>
      </c>
      <c r="E225" s="112">
        <f t="shared" si="36"/>
        <v>2</v>
      </c>
      <c r="F225" s="114">
        <f t="shared" si="37"/>
        <v>20</v>
      </c>
      <c r="G225" s="113">
        <f t="shared" si="38"/>
        <v>30</v>
      </c>
      <c r="H225" s="114">
        <f t="shared" si="31"/>
        <v>40</v>
      </c>
      <c r="I225" s="113">
        <f t="shared" si="32"/>
        <v>50</v>
      </c>
      <c r="J225" s="114">
        <f t="shared" si="33"/>
        <v>60</v>
      </c>
      <c r="K225" s="113"/>
      <c r="L225" s="114">
        <f t="shared" si="35"/>
        <v>200</v>
      </c>
      <c r="M225" s="115">
        <f t="shared" si="34"/>
        <v>83599.794707932408</v>
      </c>
      <c r="N225" s="116"/>
    </row>
    <row r="226" spans="1:14">
      <c r="B226" s="24" t="s">
        <v>153</v>
      </c>
      <c r="D226" s="113">
        <v>10</v>
      </c>
      <c r="E226" s="112">
        <f t="shared" si="36"/>
        <v>2</v>
      </c>
      <c r="F226" s="114">
        <f t="shared" si="37"/>
        <v>20</v>
      </c>
      <c r="G226" s="113">
        <f t="shared" si="38"/>
        <v>30</v>
      </c>
      <c r="H226" s="114">
        <f t="shared" si="31"/>
        <v>40</v>
      </c>
      <c r="I226" s="113">
        <f t="shared" si="32"/>
        <v>50</v>
      </c>
      <c r="J226" s="114">
        <f t="shared" si="33"/>
        <v>60</v>
      </c>
      <c r="K226" s="113"/>
      <c r="L226" s="114">
        <f t="shared" si="35"/>
        <v>200</v>
      </c>
      <c r="M226" s="115">
        <f t="shared" si="34"/>
        <v>83799.794707932408</v>
      </c>
      <c r="N226" s="116"/>
    </row>
    <row r="227" spans="1:14">
      <c r="A227" s="26"/>
      <c r="B227" s="27" t="s">
        <v>154</v>
      </c>
      <c r="C227" s="26"/>
      <c r="D227" s="113">
        <v>10</v>
      </c>
      <c r="E227" s="112">
        <f t="shared" si="36"/>
        <v>2</v>
      </c>
      <c r="F227" s="112">
        <f t="shared" si="37"/>
        <v>20</v>
      </c>
      <c r="G227" s="112">
        <f t="shared" si="38"/>
        <v>30</v>
      </c>
      <c r="H227" s="112">
        <f t="shared" si="31"/>
        <v>40</v>
      </c>
      <c r="I227" s="112">
        <f t="shared" si="32"/>
        <v>50</v>
      </c>
      <c r="J227" s="112">
        <f t="shared" si="33"/>
        <v>60</v>
      </c>
      <c r="K227" s="112"/>
      <c r="L227" s="112">
        <f t="shared" si="35"/>
        <v>200</v>
      </c>
      <c r="M227" s="117">
        <f t="shared" si="34"/>
        <v>83999.794707932408</v>
      </c>
      <c r="N227" s="117">
        <f>M227-M222</f>
        <v>1000</v>
      </c>
    </row>
    <row r="228" spans="1:14">
      <c r="A228" s="23">
        <v>46</v>
      </c>
      <c r="B228" s="24" t="s">
        <v>150</v>
      </c>
      <c r="D228" s="113">
        <v>10</v>
      </c>
      <c r="E228" s="112">
        <f t="shared" si="36"/>
        <v>2</v>
      </c>
      <c r="F228" s="114">
        <f t="shared" si="37"/>
        <v>20</v>
      </c>
      <c r="G228" s="113">
        <f t="shared" si="38"/>
        <v>30</v>
      </c>
      <c r="H228" s="114">
        <f t="shared" si="31"/>
        <v>40</v>
      </c>
      <c r="I228" s="113">
        <f t="shared" si="32"/>
        <v>50</v>
      </c>
      <c r="J228" s="114">
        <f t="shared" si="33"/>
        <v>60</v>
      </c>
      <c r="K228" s="113"/>
      <c r="L228" s="114">
        <f t="shared" si="35"/>
        <v>200</v>
      </c>
      <c r="M228" s="115">
        <f t="shared" si="34"/>
        <v>84199.794707932408</v>
      </c>
      <c r="N228" s="116"/>
    </row>
    <row r="229" spans="1:14">
      <c r="B229" s="24" t="s">
        <v>151</v>
      </c>
      <c r="D229" s="113">
        <v>10</v>
      </c>
      <c r="E229" s="112">
        <f t="shared" si="36"/>
        <v>2</v>
      </c>
      <c r="F229" s="114">
        <f t="shared" si="37"/>
        <v>20</v>
      </c>
      <c r="G229" s="113">
        <f t="shared" si="38"/>
        <v>30</v>
      </c>
      <c r="H229" s="114">
        <f t="shared" si="31"/>
        <v>40</v>
      </c>
      <c r="I229" s="113">
        <f t="shared" si="32"/>
        <v>50</v>
      </c>
      <c r="J229" s="114">
        <f t="shared" si="33"/>
        <v>60</v>
      </c>
      <c r="K229" s="113"/>
      <c r="L229" s="114">
        <f t="shared" si="35"/>
        <v>200</v>
      </c>
      <c r="M229" s="115">
        <f t="shared" si="34"/>
        <v>84399.794707932408</v>
      </c>
      <c r="N229" s="116"/>
    </row>
    <row r="230" spans="1:14">
      <c r="B230" s="24" t="s">
        <v>152</v>
      </c>
      <c r="D230" s="113">
        <v>10</v>
      </c>
      <c r="E230" s="112">
        <f t="shared" si="36"/>
        <v>2</v>
      </c>
      <c r="F230" s="114">
        <f t="shared" si="37"/>
        <v>20</v>
      </c>
      <c r="G230" s="113">
        <f t="shared" si="38"/>
        <v>30</v>
      </c>
      <c r="H230" s="114">
        <f t="shared" si="31"/>
        <v>40</v>
      </c>
      <c r="I230" s="113">
        <f t="shared" si="32"/>
        <v>50</v>
      </c>
      <c r="J230" s="114">
        <f t="shared" si="33"/>
        <v>60</v>
      </c>
      <c r="K230" s="113"/>
      <c r="L230" s="114">
        <f t="shared" si="35"/>
        <v>200</v>
      </c>
      <c r="M230" s="115">
        <f t="shared" si="34"/>
        <v>84599.794707932408</v>
      </c>
      <c r="N230" s="116"/>
    </row>
    <row r="231" spans="1:14">
      <c r="B231" s="24" t="s">
        <v>153</v>
      </c>
      <c r="D231" s="113">
        <v>10</v>
      </c>
      <c r="E231" s="112">
        <f t="shared" si="36"/>
        <v>2</v>
      </c>
      <c r="F231" s="114">
        <f t="shared" si="37"/>
        <v>20</v>
      </c>
      <c r="G231" s="113">
        <f t="shared" si="38"/>
        <v>30</v>
      </c>
      <c r="H231" s="114">
        <f t="shared" si="31"/>
        <v>40</v>
      </c>
      <c r="I231" s="113">
        <f t="shared" si="32"/>
        <v>50</v>
      </c>
      <c r="J231" s="114">
        <f t="shared" si="33"/>
        <v>60</v>
      </c>
      <c r="K231" s="113"/>
      <c r="L231" s="114">
        <f t="shared" si="35"/>
        <v>200</v>
      </c>
      <c r="M231" s="115">
        <f t="shared" si="34"/>
        <v>84799.794707932408</v>
      </c>
      <c r="N231" s="116"/>
    </row>
    <row r="232" spans="1:14">
      <c r="A232" s="26"/>
      <c r="B232" s="27" t="s">
        <v>154</v>
      </c>
      <c r="C232" s="26"/>
      <c r="D232" s="113">
        <v>10</v>
      </c>
      <c r="E232" s="112">
        <f t="shared" si="36"/>
        <v>2</v>
      </c>
      <c r="F232" s="112">
        <f t="shared" si="37"/>
        <v>20</v>
      </c>
      <c r="G232" s="112">
        <f t="shared" si="38"/>
        <v>30</v>
      </c>
      <c r="H232" s="112">
        <f t="shared" si="31"/>
        <v>40</v>
      </c>
      <c r="I232" s="112">
        <f t="shared" si="32"/>
        <v>50</v>
      </c>
      <c r="J232" s="112">
        <f t="shared" si="33"/>
        <v>60</v>
      </c>
      <c r="K232" s="112"/>
      <c r="L232" s="112">
        <f t="shared" si="35"/>
        <v>200</v>
      </c>
      <c r="M232" s="117">
        <f t="shared" si="34"/>
        <v>84999.794707932408</v>
      </c>
      <c r="N232" s="117">
        <f>M232-M227</f>
        <v>1000</v>
      </c>
    </row>
    <row r="233" spans="1:14">
      <c r="A233" s="23">
        <v>47</v>
      </c>
      <c r="B233" s="24" t="s">
        <v>150</v>
      </c>
      <c r="D233" s="113">
        <v>10</v>
      </c>
      <c r="E233" s="112">
        <f t="shared" si="36"/>
        <v>2</v>
      </c>
      <c r="F233" s="114">
        <f t="shared" si="37"/>
        <v>20</v>
      </c>
      <c r="G233" s="113">
        <f t="shared" si="38"/>
        <v>30</v>
      </c>
      <c r="H233" s="114">
        <f t="shared" si="31"/>
        <v>40</v>
      </c>
      <c r="I233" s="113">
        <f t="shared" si="32"/>
        <v>50</v>
      </c>
      <c r="J233" s="114">
        <f t="shared" si="33"/>
        <v>60</v>
      </c>
      <c r="K233" s="113"/>
      <c r="L233" s="114">
        <f t="shared" si="35"/>
        <v>200</v>
      </c>
      <c r="M233" s="115">
        <f t="shared" si="34"/>
        <v>85199.794707932408</v>
      </c>
      <c r="N233" s="116"/>
    </row>
    <row r="234" spans="1:14">
      <c r="B234" s="24" t="s">
        <v>151</v>
      </c>
      <c r="D234" s="113">
        <v>10</v>
      </c>
      <c r="E234" s="112">
        <f t="shared" si="36"/>
        <v>2</v>
      </c>
      <c r="F234" s="114">
        <f t="shared" si="37"/>
        <v>20</v>
      </c>
      <c r="G234" s="113">
        <f t="shared" si="38"/>
        <v>30</v>
      </c>
      <c r="H234" s="114">
        <f t="shared" si="31"/>
        <v>40</v>
      </c>
      <c r="I234" s="113">
        <f t="shared" si="32"/>
        <v>50</v>
      </c>
      <c r="J234" s="114">
        <f t="shared" si="33"/>
        <v>60</v>
      </c>
      <c r="K234" s="113"/>
      <c r="L234" s="114">
        <f t="shared" si="35"/>
        <v>200</v>
      </c>
      <c r="M234" s="115">
        <f t="shared" si="34"/>
        <v>85399.794707932408</v>
      </c>
      <c r="N234" s="116"/>
    </row>
    <row r="235" spans="1:14">
      <c r="B235" s="24" t="s">
        <v>152</v>
      </c>
      <c r="D235" s="113">
        <v>10</v>
      </c>
      <c r="E235" s="112">
        <f t="shared" si="36"/>
        <v>2</v>
      </c>
      <c r="F235" s="114">
        <f t="shared" si="37"/>
        <v>20</v>
      </c>
      <c r="G235" s="113">
        <f t="shared" si="38"/>
        <v>30</v>
      </c>
      <c r="H235" s="114">
        <f t="shared" si="31"/>
        <v>40</v>
      </c>
      <c r="I235" s="113">
        <f t="shared" si="32"/>
        <v>50</v>
      </c>
      <c r="J235" s="114">
        <f t="shared" si="33"/>
        <v>60</v>
      </c>
      <c r="K235" s="113"/>
      <c r="L235" s="114">
        <f t="shared" si="35"/>
        <v>200</v>
      </c>
      <c r="M235" s="115">
        <f t="shared" si="34"/>
        <v>85599.794707932408</v>
      </c>
      <c r="N235" s="116"/>
    </row>
    <row r="236" spans="1:14">
      <c r="B236" s="24" t="s">
        <v>153</v>
      </c>
      <c r="D236" s="113">
        <v>10</v>
      </c>
      <c r="E236" s="112">
        <f t="shared" si="36"/>
        <v>2</v>
      </c>
      <c r="F236" s="114">
        <f t="shared" si="37"/>
        <v>20</v>
      </c>
      <c r="G236" s="113">
        <f t="shared" si="38"/>
        <v>30</v>
      </c>
      <c r="H236" s="114">
        <f t="shared" si="31"/>
        <v>40</v>
      </c>
      <c r="I236" s="113">
        <f t="shared" si="32"/>
        <v>50</v>
      </c>
      <c r="J236" s="114">
        <f t="shared" si="33"/>
        <v>60</v>
      </c>
      <c r="K236" s="113"/>
      <c r="L236" s="114">
        <f t="shared" si="35"/>
        <v>200</v>
      </c>
      <c r="M236" s="115">
        <f t="shared" si="34"/>
        <v>85799.794707932408</v>
      </c>
      <c r="N236" s="116"/>
    </row>
    <row r="237" spans="1:14">
      <c r="A237" s="26"/>
      <c r="B237" s="27" t="s">
        <v>154</v>
      </c>
      <c r="C237" s="26"/>
      <c r="D237" s="113">
        <v>10</v>
      </c>
      <c r="E237" s="112">
        <f t="shared" si="36"/>
        <v>2</v>
      </c>
      <c r="F237" s="112">
        <f t="shared" si="37"/>
        <v>20</v>
      </c>
      <c r="G237" s="112">
        <f t="shared" si="38"/>
        <v>30</v>
      </c>
      <c r="H237" s="112">
        <f t="shared" si="31"/>
        <v>40</v>
      </c>
      <c r="I237" s="112">
        <f t="shared" si="32"/>
        <v>50</v>
      </c>
      <c r="J237" s="112">
        <f t="shared" si="33"/>
        <v>60</v>
      </c>
      <c r="K237" s="112"/>
      <c r="L237" s="112">
        <f t="shared" si="35"/>
        <v>200</v>
      </c>
      <c r="M237" s="117">
        <f t="shared" si="34"/>
        <v>85999.794707932408</v>
      </c>
      <c r="N237" s="117">
        <f>M237-M232</f>
        <v>1000</v>
      </c>
    </row>
    <row r="238" spans="1:14">
      <c r="A238" s="23">
        <v>48</v>
      </c>
      <c r="B238" s="24" t="s">
        <v>150</v>
      </c>
      <c r="D238" s="113">
        <v>10</v>
      </c>
      <c r="E238" s="112">
        <f t="shared" si="36"/>
        <v>2</v>
      </c>
      <c r="F238" s="114">
        <f t="shared" si="37"/>
        <v>20</v>
      </c>
      <c r="G238" s="113">
        <f t="shared" si="38"/>
        <v>30</v>
      </c>
      <c r="H238" s="114">
        <f t="shared" si="31"/>
        <v>40</v>
      </c>
      <c r="I238" s="113">
        <f t="shared" si="32"/>
        <v>50</v>
      </c>
      <c r="J238" s="114">
        <f t="shared" si="33"/>
        <v>60</v>
      </c>
      <c r="K238" s="113"/>
      <c r="L238" s="114">
        <f t="shared" si="35"/>
        <v>200</v>
      </c>
      <c r="M238" s="115">
        <f t="shared" si="34"/>
        <v>86199.794707932408</v>
      </c>
      <c r="N238" s="116"/>
    </row>
    <row r="239" spans="1:14">
      <c r="B239" s="24" t="s">
        <v>151</v>
      </c>
      <c r="D239" s="113">
        <v>10</v>
      </c>
      <c r="E239" s="112">
        <f t="shared" si="36"/>
        <v>2</v>
      </c>
      <c r="F239" s="114">
        <f t="shared" si="37"/>
        <v>20</v>
      </c>
      <c r="G239" s="113">
        <f t="shared" si="38"/>
        <v>30</v>
      </c>
      <c r="H239" s="114">
        <f t="shared" si="31"/>
        <v>40</v>
      </c>
      <c r="I239" s="113">
        <f t="shared" si="32"/>
        <v>50</v>
      </c>
      <c r="J239" s="114">
        <f t="shared" si="33"/>
        <v>60</v>
      </c>
      <c r="K239" s="113"/>
      <c r="L239" s="114">
        <f t="shared" si="35"/>
        <v>200</v>
      </c>
      <c r="M239" s="115">
        <f t="shared" si="34"/>
        <v>86399.794707932408</v>
      </c>
      <c r="N239" s="116"/>
    </row>
    <row r="240" spans="1:14">
      <c r="B240" s="24" t="s">
        <v>152</v>
      </c>
      <c r="D240" s="113">
        <v>10</v>
      </c>
      <c r="E240" s="112">
        <f t="shared" si="36"/>
        <v>2</v>
      </c>
      <c r="F240" s="114">
        <f t="shared" si="37"/>
        <v>20</v>
      </c>
      <c r="G240" s="113">
        <f t="shared" si="38"/>
        <v>30</v>
      </c>
      <c r="H240" s="114">
        <f t="shared" si="31"/>
        <v>40</v>
      </c>
      <c r="I240" s="113">
        <f t="shared" si="32"/>
        <v>50</v>
      </c>
      <c r="J240" s="114">
        <f t="shared" si="33"/>
        <v>60</v>
      </c>
      <c r="K240" s="113"/>
      <c r="L240" s="114">
        <f t="shared" si="35"/>
        <v>200</v>
      </c>
      <c r="M240" s="115">
        <f t="shared" si="34"/>
        <v>86599.794707932408</v>
      </c>
      <c r="N240" s="116"/>
    </row>
    <row r="241" spans="1:14">
      <c r="B241" s="24" t="s">
        <v>153</v>
      </c>
      <c r="D241" s="113">
        <v>10</v>
      </c>
      <c r="E241" s="112">
        <f t="shared" si="36"/>
        <v>2</v>
      </c>
      <c r="F241" s="114">
        <f t="shared" si="37"/>
        <v>20</v>
      </c>
      <c r="G241" s="113">
        <f t="shared" si="38"/>
        <v>30</v>
      </c>
      <c r="H241" s="114">
        <f t="shared" si="31"/>
        <v>40</v>
      </c>
      <c r="I241" s="113">
        <f t="shared" si="32"/>
        <v>50</v>
      </c>
      <c r="J241" s="114">
        <f t="shared" si="33"/>
        <v>60</v>
      </c>
      <c r="K241" s="113"/>
      <c r="L241" s="114">
        <f t="shared" si="35"/>
        <v>200</v>
      </c>
      <c r="M241" s="115">
        <f t="shared" si="34"/>
        <v>86799.794707932408</v>
      </c>
      <c r="N241" s="116"/>
    </row>
    <row r="242" spans="1:14">
      <c r="A242" s="26"/>
      <c r="B242" s="27" t="s">
        <v>154</v>
      </c>
      <c r="C242" s="26"/>
      <c r="D242" s="113">
        <v>10</v>
      </c>
      <c r="E242" s="112">
        <f t="shared" si="36"/>
        <v>2</v>
      </c>
      <c r="F242" s="112">
        <f t="shared" si="37"/>
        <v>20</v>
      </c>
      <c r="G242" s="112">
        <f t="shared" si="38"/>
        <v>30</v>
      </c>
      <c r="H242" s="112">
        <f t="shared" si="31"/>
        <v>40</v>
      </c>
      <c r="I242" s="112">
        <f t="shared" si="32"/>
        <v>50</v>
      </c>
      <c r="J242" s="112">
        <f t="shared" si="33"/>
        <v>60</v>
      </c>
      <c r="K242" s="112"/>
      <c r="L242" s="112">
        <f t="shared" si="35"/>
        <v>200</v>
      </c>
      <c r="M242" s="117">
        <f t="shared" si="34"/>
        <v>86999.794707932408</v>
      </c>
      <c r="N242" s="117">
        <f>M242-M237</f>
        <v>1000</v>
      </c>
    </row>
    <row r="243" spans="1:14">
      <c r="A243" s="23">
        <v>49</v>
      </c>
      <c r="B243" s="24" t="s">
        <v>150</v>
      </c>
      <c r="D243" s="113">
        <v>10</v>
      </c>
      <c r="E243" s="112">
        <f t="shared" si="36"/>
        <v>2</v>
      </c>
      <c r="F243" s="114">
        <f t="shared" si="37"/>
        <v>20</v>
      </c>
      <c r="G243" s="113">
        <f t="shared" si="38"/>
        <v>30</v>
      </c>
      <c r="H243" s="114">
        <f t="shared" si="31"/>
        <v>40</v>
      </c>
      <c r="I243" s="113">
        <f t="shared" si="32"/>
        <v>50</v>
      </c>
      <c r="J243" s="114">
        <f t="shared" si="33"/>
        <v>60</v>
      </c>
      <c r="K243" s="113"/>
      <c r="L243" s="114">
        <f t="shared" si="35"/>
        <v>200</v>
      </c>
      <c r="M243" s="115">
        <f t="shared" si="34"/>
        <v>87199.794707932408</v>
      </c>
      <c r="N243" s="116"/>
    </row>
    <row r="244" spans="1:14">
      <c r="B244" s="24" t="s">
        <v>151</v>
      </c>
      <c r="D244" s="113">
        <v>10</v>
      </c>
      <c r="E244" s="112">
        <f t="shared" si="36"/>
        <v>2</v>
      </c>
      <c r="F244" s="114">
        <f t="shared" si="37"/>
        <v>20</v>
      </c>
      <c r="G244" s="113">
        <f t="shared" si="38"/>
        <v>30</v>
      </c>
      <c r="H244" s="114">
        <f t="shared" si="31"/>
        <v>40</v>
      </c>
      <c r="I244" s="113">
        <f t="shared" si="32"/>
        <v>50</v>
      </c>
      <c r="J244" s="114">
        <f t="shared" si="33"/>
        <v>60</v>
      </c>
      <c r="K244" s="113"/>
      <c r="L244" s="114">
        <f t="shared" si="35"/>
        <v>200</v>
      </c>
      <c r="M244" s="115">
        <f t="shared" si="34"/>
        <v>87399.794707932408</v>
      </c>
      <c r="N244" s="116"/>
    </row>
    <row r="245" spans="1:14">
      <c r="B245" s="24" t="s">
        <v>152</v>
      </c>
      <c r="D245" s="113">
        <v>10</v>
      </c>
      <c r="E245" s="112">
        <f t="shared" si="36"/>
        <v>2</v>
      </c>
      <c r="F245" s="114">
        <f t="shared" si="37"/>
        <v>20</v>
      </c>
      <c r="G245" s="113">
        <f t="shared" si="38"/>
        <v>30</v>
      </c>
      <c r="H245" s="114">
        <f t="shared" si="31"/>
        <v>40</v>
      </c>
      <c r="I245" s="113">
        <f t="shared" si="32"/>
        <v>50</v>
      </c>
      <c r="J245" s="114">
        <f t="shared" si="33"/>
        <v>60</v>
      </c>
      <c r="K245" s="113"/>
      <c r="L245" s="114">
        <f t="shared" si="35"/>
        <v>200</v>
      </c>
      <c r="M245" s="115">
        <f t="shared" si="34"/>
        <v>87599.794707932408</v>
      </c>
      <c r="N245" s="116"/>
    </row>
    <row r="246" spans="1:14">
      <c r="B246" s="24" t="s">
        <v>153</v>
      </c>
      <c r="D246" s="113">
        <v>10</v>
      </c>
      <c r="E246" s="112">
        <f t="shared" si="36"/>
        <v>2</v>
      </c>
      <c r="F246" s="114">
        <f t="shared" si="37"/>
        <v>20</v>
      </c>
      <c r="G246" s="113">
        <f t="shared" si="38"/>
        <v>30</v>
      </c>
      <c r="H246" s="114">
        <f t="shared" si="31"/>
        <v>40</v>
      </c>
      <c r="I246" s="113">
        <f t="shared" si="32"/>
        <v>50</v>
      </c>
      <c r="J246" s="114">
        <f t="shared" si="33"/>
        <v>60</v>
      </c>
      <c r="K246" s="113"/>
      <c r="L246" s="114">
        <f t="shared" si="35"/>
        <v>200</v>
      </c>
      <c r="M246" s="115">
        <f t="shared" si="34"/>
        <v>87799.794707932408</v>
      </c>
      <c r="N246" s="116"/>
    </row>
    <row r="247" spans="1:14">
      <c r="B247" s="24" t="s">
        <v>154</v>
      </c>
      <c r="D247" s="113">
        <v>10</v>
      </c>
      <c r="E247" s="112">
        <f t="shared" si="36"/>
        <v>2</v>
      </c>
      <c r="F247" s="114">
        <f t="shared" si="37"/>
        <v>20</v>
      </c>
      <c r="G247" s="113">
        <f t="shared" si="38"/>
        <v>30</v>
      </c>
      <c r="H247" s="114">
        <f t="shared" si="31"/>
        <v>40</v>
      </c>
      <c r="I247" s="113">
        <f t="shared" si="32"/>
        <v>50</v>
      </c>
      <c r="J247" s="114">
        <f t="shared" si="33"/>
        <v>60</v>
      </c>
      <c r="K247" s="113"/>
      <c r="L247" s="114">
        <f t="shared" si="35"/>
        <v>200</v>
      </c>
      <c r="M247" s="115">
        <f t="shared" si="34"/>
        <v>87999.794707932408</v>
      </c>
      <c r="N247" s="117">
        <f>M247-M242</f>
        <v>1000</v>
      </c>
    </row>
    <row r="252" spans="1:14">
      <c r="N252" s="5"/>
    </row>
    <row r="257" spans="14:14">
      <c r="N257" s="5"/>
    </row>
    <row r="262" spans="14:14">
      <c r="N262" s="5"/>
    </row>
    <row r="267" spans="14:14">
      <c r="N267" s="5"/>
    </row>
    <row r="272" spans="14:14">
      <c r="N272" s="5"/>
    </row>
    <row r="277" spans="14:14">
      <c r="N277" s="5"/>
    </row>
    <row r="282" spans="14:14">
      <c r="N282" s="5">
        <f>M282-M277</f>
        <v>0</v>
      </c>
    </row>
    <row r="287" spans="14:14">
      <c r="N287" s="5">
        <f>M287-M282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2024-03-18T02:37:20Z</dcterms:modified>
  <cp:category/>
  <cp:contentStatus/>
</cp:coreProperties>
</file>